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RC\מודלים שאלונים\"/>
    </mc:Choice>
  </mc:AlternateContent>
  <bookViews>
    <workbookView xWindow="0" yWindow="0" windowWidth="28800" windowHeight="11790" tabRatio="500" activeTab="4"/>
  </bookViews>
  <sheets>
    <sheet name="הוראות שימוש" sheetId="1" r:id="rId1"/>
    <sheet name="קלט שאלון" sheetId="2" r:id="rId2"/>
    <sheet name="ציונים ודחיפות" sheetId="3" r:id="rId3"/>
    <sheet name="סיכום קליני" sheetId="4" r:id="rId4"/>
    <sheet name="גרף רדאר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4" l="1"/>
  <c r="C8" i="4"/>
  <c r="C7" i="4"/>
  <c r="C6" i="4"/>
  <c r="C5" i="4"/>
  <c r="C4" i="4"/>
  <c r="F17" i="3"/>
  <c r="E17" i="3"/>
  <c r="C25" i="4" s="1"/>
  <c r="D17" i="3"/>
  <c r="B12" i="5" s="1"/>
  <c r="C17" i="3"/>
  <c r="B25" i="4" s="1"/>
  <c r="C16" i="3"/>
  <c r="F16" i="3" s="1"/>
  <c r="D24" i="4" s="1"/>
  <c r="F15" i="3"/>
  <c r="D23" i="4" s="1"/>
  <c r="C15" i="3"/>
  <c r="B23" i="4" s="1"/>
  <c r="F14" i="3"/>
  <c r="D22" i="4" s="1"/>
  <c r="E14" i="3"/>
  <c r="C22" i="4" s="1"/>
  <c r="D14" i="3"/>
  <c r="B7" i="5" s="1"/>
  <c r="C14" i="3"/>
  <c r="B22" i="4" s="1"/>
  <c r="C13" i="3"/>
  <c r="B21" i="4" s="1"/>
  <c r="F12" i="3"/>
  <c r="D20" i="4" s="1"/>
  <c r="C12" i="3"/>
  <c r="E12" i="3" s="1"/>
  <c r="C20" i="4" s="1"/>
  <c r="F11" i="3"/>
  <c r="D19" i="4" s="1"/>
  <c r="E11" i="3"/>
  <c r="C19" i="4" s="1"/>
  <c r="C11" i="3"/>
  <c r="B19" i="4" s="1"/>
  <c r="C10" i="3"/>
  <c r="F10" i="3" s="1"/>
  <c r="D18" i="4" s="1"/>
  <c r="F9" i="3"/>
  <c r="D17" i="4" s="1"/>
  <c r="E9" i="3"/>
  <c r="C17" i="4" s="1"/>
  <c r="C9" i="3"/>
  <c r="B17" i="4" s="1"/>
  <c r="C8" i="3"/>
  <c r="F8" i="3" s="1"/>
  <c r="D16" i="4" s="1"/>
  <c r="C7" i="3"/>
  <c r="F7" i="3" s="1"/>
  <c r="D15" i="4" s="1"/>
  <c r="F6" i="3"/>
  <c r="D14" i="4" s="1"/>
  <c r="E6" i="3"/>
  <c r="C14" i="4" s="1"/>
  <c r="C6" i="3"/>
  <c r="D6" i="3" s="1"/>
  <c r="C5" i="3"/>
  <c r="B13" i="4" s="1"/>
  <c r="C4" i="3"/>
  <c r="F4" i="3" s="1"/>
  <c r="D12" i="4" s="1"/>
  <c r="B9" i="5" l="1"/>
  <c r="B14" i="4"/>
  <c r="D11" i="3"/>
  <c r="B10" i="5" s="1"/>
  <c r="D13" i="3"/>
  <c r="B6" i="5" s="1"/>
  <c r="D16" i="3"/>
  <c r="B12" i="4"/>
  <c r="B16" i="4"/>
  <c r="B18" i="4"/>
  <c r="B20" i="4"/>
  <c r="B24" i="4"/>
  <c r="D5" i="3"/>
  <c r="B3" i="5" s="1"/>
  <c r="D8" i="3"/>
  <c r="B4" i="5" s="1"/>
  <c r="E5" i="3"/>
  <c r="C13" i="4" s="1"/>
  <c r="E8" i="3"/>
  <c r="C16" i="4" s="1"/>
  <c r="D4" i="3"/>
  <c r="D7" i="3"/>
  <c r="B15" i="4" s="1"/>
  <c r="E7" i="3"/>
  <c r="C15" i="4" s="1"/>
  <c r="E10" i="3"/>
  <c r="C18" i="4" s="1"/>
  <c r="E16" i="3"/>
  <c r="C24" i="4" s="1"/>
  <c r="F5" i="3"/>
  <c r="D13" i="4" s="1"/>
  <c r="D10" i="3"/>
  <c r="B5" i="5" s="1"/>
  <c r="E4" i="3"/>
  <c r="C12" i="4" s="1"/>
  <c r="E13" i="3"/>
  <c r="C21" i="4" s="1"/>
  <c r="D9" i="3"/>
  <c r="D12" i="3"/>
  <c r="B11" i="5" s="1"/>
  <c r="F13" i="3"/>
  <c r="D21" i="4" s="1"/>
  <c r="D15" i="3"/>
  <c r="B8" i="5" s="1"/>
  <c r="E15" i="3"/>
  <c r="C23" i="4" s="1"/>
</calcChain>
</file>

<file path=xl/sharedStrings.xml><?xml version="1.0" encoding="utf-8"?>
<sst xmlns="http://schemas.openxmlformats.org/spreadsheetml/2006/main" count="379" uniqueCount="334">
  <si>
    <t>מערכת ניקוד שאלון אורח חיים – הוראות שימוש</t>
  </si>
  <si>
    <t>מבוסס על שאלונים מאומתים מדעית | לשימוש מקצועי בלבד</t>
  </si>
  <si>
    <t>כיצד להשתמש במערכת זו?</t>
  </si>
  <si>
    <t>שלב 1: לשונית 'קלט שאלון'</t>
  </si>
  <si>
    <t>הזן את תשובות המטופל/ת לפי מספרי השאלות. כל שאלה מסומנת עם הסבר ואפשרויות הניקוד.</t>
  </si>
  <si>
    <t>שלב 2: לשונית 'ציונים ודחיפות'</t>
  </si>
  <si>
    <t>המערכת מחשבת אוטומטית את הציונים לכל שאלון, מסמנת בצבע את רמת הדחיפות.</t>
  </si>
  <si>
    <t>שלב 3: לשונית 'סיכום קליני'</t>
  </si>
  <si>
    <t>הפקת סיכום מוכן לפגישה עם הממצאים הבולטים, הדגלים האדומים וההמלצות.</t>
  </si>
  <si>
    <t>שלב 4: לשונית 'גרף רדאר'</t>
  </si>
  <si>
    <t>ויזואליזציה של פרופיל הבריאות המלא של המטופל/ת בתרשים גרפי.</t>
  </si>
  <si>
    <t>שלב 5: לשונית 'מדריך שאלונים'</t>
  </si>
  <si>
    <t>הסבר מדעי על כל שאלון, שיטת החישוב, פרשנות הציונים ומקורות.</t>
  </si>
  <si>
    <t>מדריך צבעים – רמות דחיפות טיפול</t>
  </si>
  <si>
    <t>🚨 חירום מיידי</t>
  </si>
  <si>
    <t>אלימות במשפחה / מחשבות אובדניות – הפנייה מיידית</t>
  </si>
  <si>
    <t>🔴 דחיפות גבוהה</t>
  </si>
  <si>
    <t>גורם סיכון משמעותי – יש לטפל בפגישה הראשונה</t>
  </si>
  <si>
    <t>🟠 דחיפות בינונית-גבוהה</t>
  </si>
  <si>
    <t>נדרשת התייחסות מהירה – בפגישה הראשונה או השנייה</t>
  </si>
  <si>
    <t>🟡 דחיפות בינונית</t>
  </si>
  <si>
    <t>יש לכלול בתוכנית הטיפול</t>
  </si>
  <si>
    <t>🟢 תקין / דחיפות נמוכה</t>
  </si>
  <si>
    <t>לשמר ולעודד</t>
  </si>
  <si>
    <t>קלט תשובות השאלון – הזן את תשובות המטופל/ת</t>
  </si>
  <si>
    <t>תאים כחולים = קלט ידני | תאים אפורים = מחושב אוטומטית</t>
  </si>
  <si>
    <t>פרטי מטופל/ת</t>
  </si>
  <si>
    <t>שם מלא</t>
  </si>
  <si>
    <t>ת.ז.</t>
  </si>
  <si>
    <t>תאריך לידה</t>
  </si>
  <si>
    <t>מגדר (ז/נ)</t>
  </si>
  <si>
    <t>תאריך מילוי השאלון</t>
  </si>
  <si>
    <t>חלק א׳ – רקע רפואי</t>
  </si>
  <si>
    <t>מחלות כרוניות (מס׳)</t>
  </si>
  <si>
    <t>0=אין, 1=אחת, 2=שתיים, 3+=שלוש ומעלה</t>
  </si>
  <si>
    <t>שאלה 7</t>
  </si>
  <si>
    <t>היסטוריה משפחתית – לב</t>
  </si>
  <si>
    <t>0=לא/לא ידוע, 1=כן</t>
  </si>
  <si>
    <t>שאלה 12</t>
  </si>
  <si>
    <t>היסטוריה משפחתית – סוכרת</t>
  </si>
  <si>
    <t>שאלה 13</t>
  </si>
  <si>
    <t>היסטוריה משפחתית – לחץ דם</t>
  </si>
  <si>
    <t>שאלה 14</t>
  </si>
  <si>
    <t>היסטוריה משפחתית – השמנה</t>
  </si>
  <si>
    <t>שאלה 15</t>
  </si>
  <si>
    <t>היסטוריה משפחתית – סרטן</t>
  </si>
  <si>
    <t>שאלה 16</t>
  </si>
  <si>
    <t>היסטוריה משפחתית – נפשי</t>
  </si>
  <si>
    <t>שאלה 17</t>
  </si>
  <si>
    <t>חלק ב׳ – תזונה ים-תיכונית (I-MEDAS)</t>
  </si>
  <si>
    <t>שמן זית כעיקרי</t>
  </si>
  <si>
    <t>1=כן, 0=לא</t>
  </si>
  <si>
    <t>שאלה 24</t>
  </si>
  <si>
    <t>ירקות מנות/יום</t>
  </si>
  <si>
    <t>מספר מנות (200 גרם)</t>
  </si>
  <si>
    <t>שאלה 25</t>
  </si>
  <si>
    <t>פירות מנות/יום</t>
  </si>
  <si>
    <t>מספר מנות (125 גרם)</t>
  </si>
  <si>
    <t>שאלה 26</t>
  </si>
  <si>
    <t>קטניות מנות/שבוע</t>
  </si>
  <si>
    <t>מספר מנות</t>
  </si>
  <si>
    <t>שאלה 27</t>
  </si>
  <si>
    <t>דגים מנות/שבוע</t>
  </si>
  <si>
    <t>שאלה 28</t>
  </si>
  <si>
    <t>אגוזים מנות/שבוע</t>
  </si>
  <si>
    <t>שאלה 29</t>
  </si>
  <si>
    <t>דגנים מלאים מנות/יום</t>
  </si>
  <si>
    <t>שאלה 30</t>
  </si>
  <si>
    <t>מוצרי חלב לא ממותקים/יום</t>
  </si>
  <si>
    <t>שאלה 31</t>
  </si>
  <si>
    <t>עוף/הודו מנות/שבוע</t>
  </si>
  <si>
    <t>שאלה 32</t>
  </si>
  <si>
    <t>בשר אדום/מעובד מנות/שבוע</t>
  </si>
  <si>
    <t>שאלה 33</t>
  </si>
  <si>
    <t>חמאה/מרגרינה מנות/יום</t>
  </si>
  <si>
    <t>שאלה 34</t>
  </si>
  <si>
    <t>משקאות ממותקים כוסות/יום</t>
  </si>
  <si>
    <t>מספר כוסות</t>
  </si>
  <si>
    <t>שאלה 35</t>
  </si>
  <si>
    <t>אלכוהול מנות/שבוע</t>
  </si>
  <si>
    <t>שאלה 36</t>
  </si>
  <si>
    <t>מאפים מתוקים פעמים/שבוע</t>
  </si>
  <si>
    <t>מספר פעמים</t>
  </si>
  <si>
    <t>שאלה 37</t>
  </si>
  <si>
    <t>חטיפים מלוחים מנות/שבוע</t>
  </si>
  <si>
    <t>שאלה 38</t>
  </si>
  <si>
    <t>ממתקים פעמים/שבוע</t>
  </si>
  <si>
    <t>שאלה 39</t>
  </si>
  <si>
    <t>מאפים מלוחים מנות/שבוע</t>
  </si>
  <si>
    <t>שאלה 40</t>
  </si>
  <si>
    <t>ארוחות מוכנות/אינסטנט פעמים/שבוע</t>
  </si>
  <si>
    <t>שאלה 41</t>
  </si>
  <si>
    <t>מטוגן עמוק פעמים/שבוע</t>
  </si>
  <si>
    <t>שאלה 42</t>
  </si>
  <si>
    <t>חלק ב׳ב – דפוסי אכילה (TFEQ)</t>
  </si>
  <si>
    <t>TFEQ: קושי לעצור אכילה</t>
  </si>
  <si>
    <t>1=בהחלט לא, 2=ברוב לא, 3=ברוב כן, 4=בהחלט כן</t>
  </si>
  <si>
    <t>שאלה 44</t>
  </si>
  <si>
    <t>TFEQ: אכילה רגשית</t>
  </si>
  <si>
    <t>שאלה 45</t>
  </si>
  <si>
    <t>TFEQ: הגבלה קוגניטיבית</t>
  </si>
  <si>
    <t>שאלה 46</t>
  </si>
  <si>
    <t>TFEQ: אכילה למראה אוכל</t>
  </si>
  <si>
    <t>שאלה 47</t>
  </si>
  <si>
    <t>TFEQ: שובע בסיום ארוחה</t>
  </si>
  <si>
    <t>1=כמעט אף פעם, 2=לפעמים, 3=לעיתים קרובות, 4=כמעט תמיד</t>
  </si>
  <si>
    <t>שאלה 48</t>
  </si>
  <si>
    <t>חלק ג׳ – פעילות גופנית (IPAQ)</t>
  </si>
  <si>
    <t>ימי פעילות אירובית/שבוע</t>
  </si>
  <si>
    <t>מספר ימים (0-7)</t>
  </si>
  <si>
    <t>שאלה 49</t>
  </si>
  <si>
    <t>דקות פעילות אירובית/יום</t>
  </si>
  <si>
    <t>מספר דקות</t>
  </si>
  <si>
    <t>שאלה 50</t>
  </si>
  <si>
    <t>פעמי אימוני כוח/שבוע</t>
  </si>
  <si>
    <t>מספר פעמים (0-7)</t>
  </si>
  <si>
    <t>שאלה 51</t>
  </si>
  <si>
    <t>שעות ישיבה/יום</t>
  </si>
  <si>
    <t>מספר שעות</t>
  </si>
  <si>
    <t>שאלה 52</t>
  </si>
  <si>
    <t>הפסקות תנועה</t>
  </si>
  <si>
    <t>1=כן כל שעה, 2=לפעמים, 3=לעיתים נדירות, 4=לא</t>
  </si>
  <si>
    <t>שאלה 53</t>
  </si>
  <si>
    <t>ימי גמישות/שבוע</t>
  </si>
  <si>
    <t>שאלה 54</t>
  </si>
  <si>
    <t>חלק ד׳ – שינה (PSQI)</t>
  </si>
  <si>
    <t>שעת כניסה למיטה</t>
  </si>
  <si>
    <t>שעה (0-24, לדוגמא 22.5 = 22:30)</t>
  </si>
  <si>
    <t>שאלה 57</t>
  </si>
  <si>
    <t>דקות להירדמות</t>
  </si>
  <si>
    <t>שאלה 58</t>
  </si>
  <si>
    <t>שעת קימה</t>
  </si>
  <si>
    <t>שעה (0-24)</t>
  </si>
  <si>
    <t>שאלה 59</t>
  </si>
  <si>
    <t>שעות שינה בפועל</t>
  </si>
  <si>
    <t>שאלה 60</t>
  </si>
  <si>
    <t>הפרעות שינה (ב'-ו') סכום</t>
  </si>
  <si>
    <t>סכום דירוגים 0-3 לכל אחד (מקסימום 15)</t>
  </si>
  <si>
    <t>שאלה 61</t>
  </si>
  <si>
    <t>עייפות יומית</t>
  </si>
  <si>
    <t>0=לא כלל, 1=לעיתים נדירות, 2=פעם-פעמיים/שבוע, 3=3+ בשבוע</t>
  </si>
  <si>
    <t>שאלה 62</t>
  </si>
  <si>
    <t>שימוש במסך בחדר שינה</t>
  </si>
  <si>
    <t>0=לא, 1=לפעמים, 2=לעיתים קרובות, 3=כמעט תמיד</t>
  </si>
  <si>
    <t>שאלה 63</t>
  </si>
  <si>
    <t>חלק ה׳ – עישון (FTND)</t>
  </si>
  <si>
    <t>מצב עישון</t>
  </si>
  <si>
    <t>0=לא מעשן, 1=הפסיק, 2=מעשן כיום</t>
  </si>
  <si>
    <t>שאלה 65</t>
  </si>
  <si>
    <t>סיגריות ליום</t>
  </si>
  <si>
    <t>0=לא רלוונטי/0-10, 1=11-20, 2=21-30, 3=31+</t>
  </si>
  <si>
    <t>שאלה 66</t>
  </si>
  <si>
    <t>זמן לסיגריה ראשונה</t>
  </si>
  <si>
    <t>3=תוך 5 דק', 2=6-30 דק', 1=31-60 דק', 0=אחרי 60 דק'</t>
  </si>
  <si>
    <t>שאלה 67</t>
  </si>
  <si>
    <t>סיגריות אלקטרוניות</t>
  </si>
  <si>
    <t>0=לא, 1=לפעמים, 2=קבוע</t>
  </si>
  <si>
    <t>שאלה 68</t>
  </si>
  <si>
    <t>עישון פסיבי</t>
  </si>
  <si>
    <t>0=לא, 1=לעיתים, 2=יומיומי</t>
  </si>
  <si>
    <t>שאלה 69</t>
  </si>
  <si>
    <t>חלק ה׳ב – אלכוהול (AUDIT-C)</t>
  </si>
  <si>
    <t>תדירות שתיית אלכוהול</t>
  </si>
  <si>
    <t>0=לא שותה, 1=פעם/חודש-, 2=2-4/חודש, 3=2-3/שבוע, 4=4+/שבוע</t>
  </si>
  <si>
    <t>שאלה 70</t>
  </si>
  <si>
    <t>כמות ביום שתייה</t>
  </si>
  <si>
    <t>0=1-2, 1=3-4, 2=5-6, 3=7-9, 4=10+</t>
  </si>
  <si>
    <t>שאלה 71</t>
  </si>
  <si>
    <t>שתייה מוגזמת (6+ במעמד אחד)</t>
  </si>
  <si>
    <t>0=לא, 1=&lt;פעם/חודש, 2=פעם/חודש, 3=פעם/שבוע, 4=כמעט יומי</t>
  </si>
  <si>
    <t>שאלה 72</t>
  </si>
  <si>
    <t>חלק ה׳ג – התמכרויות (ASSIST)</t>
  </si>
  <si>
    <t>שימוש בסמים (היסטוריה)</t>
  </si>
  <si>
    <t>0=לא מעולם, 1=כן</t>
  </si>
  <si>
    <t>שאלה 73</t>
  </si>
  <si>
    <t>שימוש בסמים (3 חודשים אחרונים)</t>
  </si>
  <si>
    <t>0=לא, 1=1-2 פעמים, 2=חודשי, 3=שבועי, 4=יומי</t>
  </si>
  <si>
    <t>שאלה 74</t>
  </si>
  <si>
    <t>חלק ו׳ – סטרס (PSS-10)</t>
  </si>
  <si>
    <t>PSS: חמקו משליטתך</t>
  </si>
  <si>
    <t>0=לעולם לא, 1=כמעט אף פעם, 2=לפעמים, 3=לעיתים קרובות, 4=לעיתים מאד קרובות</t>
  </si>
  <si>
    <t>שאלה 77</t>
  </si>
  <si>
    <t>PSS: בטוח ביכולת (הפוך)</t>
  </si>
  <si>
    <t>שאלה 78</t>
  </si>
  <si>
    <t>PSS: לחץ רב</t>
  </si>
  <si>
    <t>שאלה 79</t>
  </si>
  <si>
    <t>PSS: שולט בעצבנויות (הפוך)</t>
  </si>
  <si>
    <t>שאלה 80</t>
  </si>
  <si>
    <t>PSS: קשיים צטברו</t>
  </si>
  <si>
    <t>שאלה 81</t>
  </si>
  <si>
    <t>חלק ו׳ב – דיכאון וחרדה (PHQ-4)</t>
  </si>
  <si>
    <t>PHQ-4: עצוב/חסר תקווה</t>
  </si>
  <si>
    <t>0=לא כלל, 1=מספר ימים, 2=יותר ממחצית, 3=כמעט כל יום</t>
  </si>
  <si>
    <t>שאלה 83</t>
  </si>
  <si>
    <t>PHQ-4: חרדה/עצבנות</t>
  </si>
  <si>
    <t>שאלה 84</t>
  </si>
  <si>
    <t>PHQ-4: קושי להתרכז</t>
  </si>
  <si>
    <t>שאלה 85</t>
  </si>
  <si>
    <t>PHQ-4: לא יכול להירגע</t>
  </si>
  <si>
    <t>שאלה 86</t>
  </si>
  <si>
    <t>חלק ז׳ – תמיכה חברתית (MOS)</t>
  </si>
  <si>
    <t>MOS: אדם קרוב לפנות</t>
  </si>
  <si>
    <t>1=כן תמיד, 2=בד״כ, 3=לפעמים, 4=לא</t>
  </si>
  <si>
    <t>שאלה 87</t>
  </si>
  <si>
    <t>MOS: תמיכת משפחה/חברים</t>
  </si>
  <si>
    <t>1=בכלל לא, 2=מעט, 3=בינוני, 4=במידה רבה, 5=תמיד</t>
  </si>
  <si>
    <t>שאלה 88</t>
  </si>
  <si>
    <t>MOS: שביעות רצון מקשרים</t>
  </si>
  <si>
    <t>1=ממש לא, 2=לא, 3=בינוני, 4=כן, 5=בהחלט</t>
  </si>
  <si>
    <t>שאלה 89</t>
  </si>
  <si>
    <t>חלק ז׳ב – אלימות במשפחה</t>
  </si>
  <si>
    <t>אלימות פיזית</t>
  </si>
  <si>
    <t>0=לא, 1=כן</t>
  </si>
  <si>
    <t>שאלה 91</t>
  </si>
  <si>
    <t>פחד מבן/בת זוג</t>
  </si>
  <si>
    <t>שאלה 92</t>
  </si>
  <si>
    <t>אלימות מינית</t>
  </si>
  <si>
    <t>שאלה 93</t>
  </si>
  <si>
    <t>שליטה/כפייה</t>
  </si>
  <si>
    <t>שאלה 94</t>
  </si>
  <si>
    <t>חלק ח׳ – ניהול בריאות ומוטיבציה</t>
  </si>
  <si>
    <t>מוטיבציה לשינוי</t>
  </si>
  <si>
    <t>1=נמוכה מאד, 2=נמוכה, 3=בינונית, 4=גבוהה, 5=גבוהה מאד</t>
  </si>
  <si>
    <t>שאלה 100</t>
  </si>
  <si>
    <t>שלב שינוי (Prochaska)</t>
  </si>
  <si>
    <t>1=לא חושב, 2=שוקל, 3=מתכנן, 4=ניסה-נכשל, 5=בתהליך</t>
  </si>
  <si>
    <t>שאלה 101</t>
  </si>
  <si>
    <t>ציונים, פרשנות ודחיפות טיפול – מחושב אוטומטית</t>
  </si>
  <si>
    <t>כל הציונים מתעדכנים אוטומטית עם הזנת הנתונים בלשונית 'קלט שאלון'</t>
  </si>
  <si>
    <t>#</t>
  </si>
  <si>
    <t>שאלון / תחום</t>
  </si>
  <si>
    <t>ציון גולמי</t>
  </si>
  <si>
    <t>ניקוד מנורמל
(0–100)</t>
  </si>
  <si>
    <t>פרשנות</t>
  </si>
  <si>
    <t>דחיפות טיפול</t>
  </si>
  <si>
    <t>מקור</t>
  </si>
  <si>
    <t>1</t>
  </si>
  <si>
    <t>היסטוריה משפחתית</t>
  </si>
  <si>
    <t>Piepoli et al., 2016</t>
  </si>
  <si>
    <t>2</t>
  </si>
  <si>
    <t>תזונה ים-תיכונית (I-MEDAS)</t>
  </si>
  <si>
    <t>Martínez-González et al., 2012</t>
  </si>
  <si>
    <t>3a</t>
  </si>
  <si>
    <t>אכילה לא מבוקרת (TFEQ-UE)</t>
  </si>
  <si>
    <t>Karlsson et al., 2000</t>
  </si>
  <si>
    <t>3b</t>
  </si>
  <si>
    <t>אכילה רגשית (TFEQ-EE)</t>
  </si>
  <si>
    <t>4</t>
  </si>
  <si>
    <t>פעילות גופנית (IPAQ – MET-דק׳/שבוע)</t>
  </si>
  <si>
    <t>Craig et al., 2003</t>
  </si>
  <si>
    <t>5</t>
  </si>
  <si>
    <t>זמן ישיבה (שעות/יום)</t>
  </si>
  <si>
    <t>Biswas et al., 2015</t>
  </si>
  <si>
    <t>6</t>
  </si>
  <si>
    <t>שינה (PSQI – ציון חלקי)</t>
  </si>
  <si>
    <t>Buysse et al., 1989</t>
  </si>
  <si>
    <t>7</t>
  </si>
  <si>
    <t>תלות בניקוטין (FTND)</t>
  </si>
  <si>
    <t>Heatherton et al., 1991</t>
  </si>
  <si>
    <t>8</t>
  </si>
  <si>
    <t>שתיית אלכוהול (AUDIT-C)</t>
  </si>
  <si>
    <t>Bush et al., 1998</t>
  </si>
  <si>
    <t>9</t>
  </si>
  <si>
    <t>סטרס נתפש (PSS-10 קצר)</t>
  </si>
  <si>
    <t>Cohen et al., 1983</t>
  </si>
  <si>
    <t>10</t>
  </si>
  <si>
    <t>דיכאון וחרדה (PHQ-4)</t>
  </si>
  <si>
    <t>Kroenke et al., 2009</t>
  </si>
  <si>
    <t>11</t>
  </si>
  <si>
    <t>תמיכה חברתית (MOS)</t>
  </si>
  <si>
    <t>Sherbourne &amp; Stewart, 1991</t>
  </si>
  <si>
    <t>12</t>
  </si>
  <si>
    <t>אלימות במשפחה (PVS/HITS)</t>
  </si>
  <si>
    <t>Feldhaus et al., 1997</t>
  </si>
  <si>
    <t>13</t>
  </si>
  <si>
    <t>מוטיבציה ושלב שינוי</t>
  </si>
  <si>
    <t>Prochaska &amp; DiClemente, 1983</t>
  </si>
  <si>
    <t>סיכום קליני – מוכן לפגישה עם הדיאטנ/ית</t>
  </si>
  <si>
    <t>מתעדכן אוטומטית מלשונית 'קלט שאלון'</t>
  </si>
  <si>
    <t>שם</t>
  </si>
  <si>
    <t>מגדר</t>
  </si>
  <si>
    <t>תאריך מילוי</t>
  </si>
  <si>
    <t>לוח בקרה – סיכום ציונים ודחיפות</t>
  </si>
  <si>
    <t>תחום</t>
  </si>
  <si>
    <t>ציון</t>
  </si>
  <si>
    <t>דחיפות</t>
  </si>
  <si>
    <t>המלצה ראשונית</t>
  </si>
  <si>
    <t>לבדוק גורמי סיכון קרדיו-מטבוליים</t>
  </si>
  <si>
    <t>תזונה ים-תיכונית</t>
  </si>
  <si>
    <t>מיפוי הרגלים תזונתיים + תכנית ים-תיכונית</t>
  </si>
  <si>
    <t>אכילה לא מבוקרת</t>
  </si>
  <si>
    <t>טכניקות אכילה מודעת (Mindful Eating)</t>
  </si>
  <si>
    <t>אכילה רגשית</t>
  </si>
  <si>
    <t>הפנייה לטיפול פסיכולוגי / CBT</t>
  </si>
  <si>
    <t>פעילות גופנית</t>
  </si>
  <si>
    <t>תכנית אימונים + הפחתת ישיבה</t>
  </si>
  <si>
    <t>זמן ישיבה</t>
  </si>
  <si>
    <t>הפסקות תנועה כל 45–60 דקות</t>
  </si>
  <si>
    <t>שינה</t>
  </si>
  <si>
    <t>היגיינת שינה + הפחתת מסכים</t>
  </si>
  <si>
    <t>עישון</t>
  </si>
  <si>
    <t>הפנייה לקייטנת גמילה מעישון</t>
  </si>
  <si>
    <t>אלכוהול</t>
  </si>
  <si>
    <t>הפנייה – AUDIT-C חיובי</t>
  </si>
  <si>
    <t>סטרס</t>
  </si>
  <si>
    <t>טכניקות ניהול סטרס / מיינדפולנס</t>
  </si>
  <si>
    <t>דיכאון וחרדה</t>
  </si>
  <si>
    <t>הפנייה לפסיכולוג/פסיכיאטר</t>
  </si>
  <si>
    <t>תמיכה חברתית</t>
  </si>
  <si>
    <t>חיזוק רשת תמיכה + קבוצות תמיכה</t>
  </si>
  <si>
    <t>אלימות במשפחה</t>
  </si>
  <si>
    <t>🚨 פרוטוקול אלימות – הפנייה מיידית</t>
  </si>
  <si>
    <t>התאמת גישה טיפולית לשלב השינוי</t>
  </si>
  <si>
    <t>סדר עדיפויות לפגישה – עפ״י רמת הדחיפות</t>
  </si>
  <si>
    <t>🚨 עדיפות 1 – חירום מיידי</t>
  </si>
  <si>
    <t>אלימות במשפחה / PHQ-4 חמור</t>
  </si>
  <si>
    <t>🔴 עדיפות 2 – דחיפות גבוהה</t>
  </si>
  <si>
    <t>גורמי סיכון קרדיו-מטבוליים (תזונה, עישון, אלכוהול, PSS)</t>
  </si>
  <si>
    <t>🟠 עדיפות 3 – בינונית-גבוהה</t>
  </si>
  <si>
    <t>שינה, פעילות גופנית, PHQ-4 קל-בינוני</t>
  </si>
  <si>
    <t>🟡 עדיפות 4 – בינונית</t>
  </si>
  <si>
    <t>דפוסי אכילה, זמן ישיבה, תמיכה חברתית</t>
  </si>
  <si>
    <t>🟢 עדיפות 5 – שמירה</t>
  </si>
  <si>
    <t>חיזוק הרגלים חיוביים קיימים</t>
  </si>
  <si>
    <t>פרופיל בריאות – ציונים מנורמלים (0–100)</t>
  </si>
  <si>
    <t>ציון (0-100)</t>
  </si>
  <si>
    <t>יעד</t>
  </si>
  <si>
    <t>תזונה</t>
  </si>
  <si>
    <t>ניהול סטרס</t>
  </si>
  <si>
    <t>בריאות נפשית</t>
  </si>
  <si>
    <t>אכילה מבוקרת</t>
  </si>
  <si>
    <t>ללא עישון</t>
  </si>
  <si>
    <t>ללא אלכוהול</t>
  </si>
  <si>
    <t>מוטיבציה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</si>
</sst>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%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1F4E79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333333"/>
      <name val="Arial"/>
      <charset val="1"/>
    </font>
    <font>
      <b/>
      <sz val="14"/>
      <color rgb="FFFFFFFF"/>
      <name val="Arial"/>
      <charset val="1"/>
    </font>
    <font>
      <b/>
      <sz val="10"/>
      <color rgb="FF1F4E79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2"/>
      <color rgb="FF0000FF"/>
      <name val="Arial"/>
      <charset val="1"/>
    </font>
    <font>
      <sz val="9"/>
      <color rgb="FF595959"/>
      <name val="Arial"/>
      <charset val="1"/>
    </font>
    <font>
      <b/>
      <sz val="11"/>
      <color rgb="FF333333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i/>
      <sz val="8"/>
      <color rgb="FF595959"/>
      <name val="Arial"/>
      <charset val="1"/>
    </font>
    <font>
      <b/>
      <sz val="12"/>
      <color rgb="FFFFFFFF"/>
      <name val="Arial"/>
      <charset val="1"/>
    </font>
    <font>
      <sz val="10"/>
      <color rgb="FF1F4E79"/>
      <name val="Arial"/>
      <charset val="1"/>
    </font>
    <font>
      <sz val="10"/>
      <color rgb="FF375623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BF3FB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  <fill>
      <patternFill patternType="solid">
        <fgColor rgb="FFE26B0A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8" fillId="2" borderId="1" xfId="0" applyFont="1" applyFill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right" vertical="center" wrapText="1" readingOrder="2"/>
    </xf>
    <xf numFmtId="0" fontId="6" fillId="3" borderId="1" xfId="0" applyFont="1" applyFill="1" applyBorder="1" applyAlignment="1">
      <alignment horizontal="right" vertical="center" wrapText="1" readingOrder="2"/>
    </xf>
    <xf numFmtId="0" fontId="8" fillId="2" borderId="1" xfId="0" applyFont="1" applyFill="1" applyBorder="1" applyAlignment="1">
      <alignment horizontal="right" vertical="center" wrapText="1" readingOrder="2"/>
    </xf>
    <xf numFmtId="0" fontId="3" fillId="0" borderId="0" xfId="0" applyFont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0" fillId="0" borderId="0" xfId="0" applyAlignment="1"/>
    <xf numFmtId="0" fontId="4" fillId="4" borderId="2" xfId="0" applyFont="1" applyFill="1" applyBorder="1" applyAlignment="1">
      <alignment horizontal="right" vertical="center" readingOrder="2"/>
    </xf>
    <xf numFmtId="0" fontId="5" fillId="5" borderId="2" xfId="0" applyFont="1" applyFill="1" applyBorder="1" applyAlignment="1">
      <alignment horizontal="right" vertical="center" wrapText="1" readingOrder="2"/>
    </xf>
    <xf numFmtId="0" fontId="6" fillId="6" borderId="2" xfId="0" applyFont="1" applyFill="1" applyBorder="1" applyAlignment="1">
      <alignment horizontal="right" vertical="center" readingOrder="2"/>
    </xf>
    <xf numFmtId="0" fontId="5" fillId="5" borderId="2" xfId="0" applyFont="1" applyFill="1" applyBorder="1" applyAlignment="1">
      <alignment horizontal="right" vertical="center" readingOrder="2"/>
    </xf>
    <xf numFmtId="0" fontId="6" fillId="7" borderId="2" xfId="0" applyFont="1" applyFill="1" applyBorder="1" applyAlignment="1">
      <alignment horizontal="right" vertical="center" readingOrder="2"/>
    </xf>
    <xf numFmtId="0" fontId="6" fillId="8" borderId="2" xfId="0" applyFont="1" applyFill="1" applyBorder="1" applyAlignment="1">
      <alignment horizontal="right" vertical="center" readingOrder="2"/>
    </xf>
    <xf numFmtId="0" fontId="7" fillId="9" borderId="2" xfId="0" applyFont="1" applyFill="1" applyBorder="1" applyAlignment="1">
      <alignment horizontal="right" vertical="center" readingOrder="2"/>
    </xf>
    <xf numFmtId="0" fontId="7" fillId="10" borderId="2" xfId="0" applyFont="1" applyFill="1" applyBorder="1" applyAlignment="1">
      <alignment horizontal="right" vertical="center" readingOrder="2"/>
    </xf>
    <xf numFmtId="0" fontId="9" fillId="4" borderId="2" xfId="0" applyFont="1" applyFill="1" applyBorder="1" applyAlignment="1">
      <alignment horizontal="right" vertical="center" readingOrder="2"/>
    </xf>
    <xf numFmtId="0" fontId="10" fillId="11" borderId="2" xfId="0" applyFont="1" applyFill="1" applyBorder="1" applyAlignment="1">
      <alignment horizontal="right" vertical="center" readingOrder="2"/>
    </xf>
    <xf numFmtId="0" fontId="6" fillId="2" borderId="2" xfId="0" applyFont="1" applyFill="1" applyBorder="1" applyAlignment="1">
      <alignment horizontal="center" vertical="center" readingOrder="2"/>
    </xf>
    <xf numFmtId="0" fontId="9" fillId="4" borderId="2" xfId="0" applyFont="1" applyFill="1" applyBorder="1" applyAlignment="1">
      <alignment horizontal="right" vertical="center" wrapText="1" readingOrder="2"/>
    </xf>
    <xf numFmtId="0" fontId="11" fillId="5" borderId="2" xfId="0" applyFont="1" applyFill="1" applyBorder="1" applyAlignment="1">
      <alignment horizontal="right" vertical="center" wrapText="1" readingOrder="2"/>
    </xf>
    <xf numFmtId="0" fontId="12" fillId="11" borderId="3" xfId="0" applyFont="1" applyFill="1" applyBorder="1" applyAlignment="1">
      <alignment horizontal="center" vertical="center" readingOrder="2"/>
    </xf>
    <xf numFmtId="0" fontId="13" fillId="5" borderId="2" xfId="0" applyFont="1" applyFill="1" applyBorder="1" applyAlignment="1">
      <alignment horizontal="center" vertical="center" readingOrder="2"/>
    </xf>
    <xf numFmtId="0" fontId="6" fillId="2" borderId="2" xfId="0" applyFont="1" applyFill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readingOrder="2"/>
    </xf>
    <xf numFmtId="164" fontId="15" fillId="0" borderId="2" xfId="0" applyNumberFormat="1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7" fillId="5" borderId="2" xfId="0" applyFont="1" applyFill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readingOrder="2"/>
    </xf>
    <xf numFmtId="0" fontId="6" fillId="3" borderId="2" xfId="0" applyFont="1" applyFill="1" applyBorder="1" applyAlignment="1">
      <alignment horizontal="right" vertical="center" wrapText="1" readingOrder="2"/>
    </xf>
    <xf numFmtId="0" fontId="15" fillId="0" borderId="2" xfId="0" applyFont="1" applyBorder="1" applyAlignment="1">
      <alignment horizontal="center" vertical="center" readingOrder="2"/>
    </xf>
    <xf numFmtId="0" fontId="13" fillId="5" borderId="2" xfId="0" applyFont="1" applyFill="1" applyBorder="1" applyAlignment="1">
      <alignment horizontal="right" vertical="center" wrapText="1" readingOrder="2"/>
    </xf>
    <xf numFmtId="0" fontId="16" fillId="4" borderId="2" xfId="0" applyFont="1" applyFill="1" applyBorder="1" applyAlignment="1">
      <alignment horizontal="right" vertical="center" wrapText="1" readingOrder="2"/>
    </xf>
    <xf numFmtId="0" fontId="2" fillId="3" borderId="0" xfId="0" applyFont="1" applyFill="1" applyAlignment="1">
      <alignment horizontal="right" vertical="center" readingOrder="2"/>
    </xf>
    <xf numFmtId="0" fontId="2" fillId="3" borderId="0" xfId="0" applyFont="1" applyFill="1" applyAlignment="1">
      <alignment horizontal="center" vertical="center" readingOrder="2"/>
    </xf>
    <xf numFmtId="0" fontId="19" fillId="4" borderId="2" xfId="0" applyFont="1" applyFill="1" applyBorder="1" applyAlignment="1">
      <alignment horizontal="right" vertical="center" readingOrder="2"/>
    </xf>
    <xf numFmtId="0" fontId="20" fillId="10" borderId="2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140"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  <dxf>
      <font>
        <b/>
        <color rgb="FF375623"/>
        <name val="Arial"/>
      </font>
      <fill>
        <patternFill>
          <bgColor rgb="FFE2EFDA"/>
        </patternFill>
      </fill>
    </dxf>
    <dxf>
      <font>
        <b/>
        <color rgb="FF8B6914"/>
        <name val="Arial"/>
      </font>
      <fill>
        <patternFill>
          <bgColor rgb="FFFFFACD"/>
        </patternFill>
      </fill>
    </dxf>
    <dxf>
      <font>
        <b/>
        <color rgb="FFE26B0A"/>
        <name val="Arial"/>
      </font>
      <fill>
        <patternFill>
          <bgColor rgb="FFFFF2CC"/>
        </patternFill>
      </fill>
    </dxf>
    <dxf>
      <font>
        <b/>
        <color rgb="FFC00000"/>
        <name val="Arial"/>
      </font>
      <fill>
        <patternFill>
          <bgColor rgb="FFFFE0E0"/>
        </patternFill>
      </fill>
    </dxf>
    <dxf>
      <font>
        <b/>
        <color rgb="FFFF0000"/>
        <name val="Arial"/>
      </font>
      <fill>
        <patternFill>
          <bgColor rgb="FFFFE0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B6914"/>
      <rgbColor rgb="FF800080"/>
      <rgbColor rgb="FF008080"/>
      <rgbColor rgb="FFF2F2F2"/>
      <rgbColor rgb="FF878787"/>
      <rgbColor rgb="FF9999FF"/>
      <rgbColor rgb="FF993366"/>
      <rgbColor rgb="FFFFFACD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99CCFF"/>
      <rgbColor rgb="FFFF99CC"/>
      <rgbColor rgb="FFCC99FF"/>
      <rgbColor rgb="FFFFE0E0"/>
      <rgbColor rgb="FF2E75B6"/>
      <rgbColor rgb="FF33CCCC"/>
      <rgbColor rgb="FF99CC00"/>
      <rgbColor rgb="FFFFC000"/>
      <rgbColor rgb="FFFF9900"/>
      <rgbColor rgb="FFE26B0A"/>
      <rgbColor rgb="FF595959"/>
      <rgbColor rgb="FFAAAAAA"/>
      <rgbColor rgb="FF003366"/>
      <rgbColor rgb="FF4F81BD"/>
      <rgbColor rgb="FF003300"/>
      <rgbColor rgb="FF375623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he-IL" sz="1800" b="1" strike="noStrike" spc="-1">
                <a:solidFill>
                  <a:srgbClr val="000000"/>
                </a:solidFill>
                <a:latin typeface="Calibri"/>
              </a:rPr>
              <a:t>פרופיל בריאות המטופל/ת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'גרף רדאר'!$B$2</c:f>
              <c:strCache>
                <c:ptCount val="1"/>
                <c:pt idx="0">
                  <c:v>ציון (0-100)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he-I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'גרף רדאר'!$A$3:$A$12</c:f>
              <c:strCache>
                <c:ptCount val="10"/>
                <c:pt idx="0">
                  <c:v>תזונה</c:v>
                </c:pt>
                <c:pt idx="1">
                  <c:v>פעילות גופנית</c:v>
                </c:pt>
                <c:pt idx="2">
                  <c:v>שינה</c:v>
                </c:pt>
                <c:pt idx="3">
                  <c:v>ניהול סטרס</c:v>
                </c:pt>
                <c:pt idx="4">
                  <c:v>בריאות נפשית</c:v>
                </c:pt>
                <c:pt idx="5">
                  <c:v>תמיכה חברתית</c:v>
                </c:pt>
                <c:pt idx="6">
                  <c:v>אכילה מבוקרת</c:v>
                </c:pt>
                <c:pt idx="7">
                  <c:v>ללא עישון</c:v>
                </c:pt>
                <c:pt idx="8">
                  <c:v>ללא אלכוהול</c:v>
                </c:pt>
                <c:pt idx="9">
                  <c:v>מוטיבציה</c:v>
                </c:pt>
              </c:strCache>
            </c:strRef>
          </c:cat>
          <c:val>
            <c:numRef>
              <c:f>'גרף רדאר'!$B$3:$B$12</c:f>
              <c:numCache>
                <c:formatCode>General</c:formatCode>
                <c:ptCount val="10"/>
                <c:pt idx="0" formatCode="0\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-25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86392"/>
        <c:axId val="32887176"/>
      </c:barChart>
      <c:catAx>
        <c:axId val="3288639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he-IL"/>
          </a:p>
        </c:txPr>
        <c:crossAx val="32887176"/>
        <c:crosses val="autoZero"/>
        <c:auto val="1"/>
        <c:lblAlgn val="ctr"/>
        <c:lblOffset val="100"/>
        <c:noMultiLvlLbl val="0"/>
      </c:catAx>
      <c:valAx>
        <c:axId val="32887176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he-IL" sz="1000" b="1" strike="noStrike" spc="-1">
                    <a:solidFill>
                      <a:srgbClr val="000000"/>
                    </a:solidFill>
                    <a:latin typeface="Calibri"/>
                  </a:rPr>
                  <a:t>ציון (0-100)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he-IL"/>
          </a:p>
        </c:txPr>
        <c:crossAx val="32886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-610920</xdr:colOff>
      <xdr:row>1</xdr:row>
      <xdr:rowOff>0</xdr:rowOff>
    </xdr:from>
    <xdr:to>
      <xdr:col>15</xdr:col>
      <xdr:colOff>-29880</xdr:colOff>
      <xdr:row>25</xdr:row>
      <xdr:rowOff>44280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rightToLeft="1" zoomScaleNormal="100" workbookViewId="0">
      <selection sqref="A1:E1"/>
    </sheetView>
  </sheetViews>
  <sheetFormatPr defaultColWidth="8.7109375" defaultRowHeight="15" x14ac:dyDescent="0.25"/>
  <cols>
    <col min="1" max="1" width="4" style="9" customWidth="1"/>
    <col min="2" max="2" width="28" style="9" customWidth="1"/>
    <col min="3" max="3" width="52" style="9" customWidth="1"/>
    <col min="4" max="4" width="22" style="9" customWidth="1"/>
    <col min="5" max="5" width="18" style="9" customWidth="1"/>
  </cols>
  <sheetData>
    <row r="1" spans="1:5" ht="36" customHeight="1" x14ac:dyDescent="0.25">
      <c r="A1" s="8" t="s">
        <v>0</v>
      </c>
      <c r="B1" s="8"/>
      <c r="C1" s="8"/>
      <c r="D1" s="8"/>
      <c r="E1" s="8"/>
    </row>
    <row r="2" spans="1:5" ht="15" customHeight="1" x14ac:dyDescent="0.25">
      <c r="A2" s="7" t="s">
        <v>1</v>
      </c>
      <c r="B2" s="7"/>
      <c r="C2" s="7"/>
      <c r="D2" s="7"/>
      <c r="E2" s="7"/>
    </row>
    <row r="3" spans="1:5" ht="36" customHeight="1" x14ac:dyDescent="0.25"/>
    <row r="4" spans="1:5" ht="15" customHeight="1" x14ac:dyDescent="0.25">
      <c r="B4" s="6" t="s">
        <v>2</v>
      </c>
      <c r="C4" s="6"/>
      <c r="D4" s="6"/>
      <c r="E4" s="6"/>
    </row>
    <row r="5" spans="1:5" ht="27.75" customHeight="1" x14ac:dyDescent="0.25">
      <c r="B5" s="10" t="s">
        <v>3</v>
      </c>
      <c r="C5" s="11" t="s">
        <v>4</v>
      </c>
    </row>
    <row r="6" spans="1:5" ht="27.75" customHeight="1" x14ac:dyDescent="0.25">
      <c r="B6" s="10" t="s">
        <v>5</v>
      </c>
      <c r="C6" s="11" t="s">
        <v>6</v>
      </c>
    </row>
    <row r="7" spans="1:5" ht="27.75" customHeight="1" x14ac:dyDescent="0.25">
      <c r="B7" s="10" t="s">
        <v>7</v>
      </c>
      <c r="C7" s="11" t="s">
        <v>8</v>
      </c>
    </row>
    <row r="8" spans="1:5" ht="27.75" customHeight="1" x14ac:dyDescent="0.25">
      <c r="B8" s="10" t="s">
        <v>9</v>
      </c>
      <c r="C8" s="11" t="s">
        <v>10</v>
      </c>
    </row>
    <row r="9" spans="1:5" ht="27.75" customHeight="1" x14ac:dyDescent="0.25">
      <c r="B9" s="10" t="s">
        <v>11</v>
      </c>
      <c r="C9" s="11" t="s">
        <v>12</v>
      </c>
    </row>
    <row r="11" spans="1:5" ht="15" customHeight="1" x14ac:dyDescent="0.25">
      <c r="B11" s="7" t="s">
        <v>13</v>
      </c>
      <c r="C11" s="7"/>
      <c r="D11" s="7"/>
      <c r="E11" s="7"/>
    </row>
    <row r="12" spans="1:5" ht="24" customHeight="1" x14ac:dyDescent="0.25">
      <c r="B12" s="12" t="s">
        <v>14</v>
      </c>
      <c r="C12" s="13" t="s">
        <v>15</v>
      </c>
    </row>
    <row r="13" spans="1:5" ht="24" customHeight="1" x14ac:dyDescent="0.25">
      <c r="B13" s="14" t="s">
        <v>16</v>
      </c>
      <c r="C13" s="13" t="s">
        <v>17</v>
      </c>
    </row>
    <row r="14" spans="1:5" ht="24" customHeight="1" x14ac:dyDescent="0.25">
      <c r="B14" s="15" t="s">
        <v>18</v>
      </c>
      <c r="C14" s="13" t="s">
        <v>19</v>
      </c>
    </row>
    <row r="15" spans="1:5" ht="24" customHeight="1" x14ac:dyDescent="0.25">
      <c r="B15" s="16" t="s">
        <v>20</v>
      </c>
      <c r="C15" s="13" t="s">
        <v>21</v>
      </c>
    </row>
    <row r="16" spans="1:5" ht="24" customHeight="1" x14ac:dyDescent="0.25">
      <c r="B16" s="17" t="s">
        <v>22</v>
      </c>
      <c r="C16" s="13" t="s">
        <v>23</v>
      </c>
    </row>
  </sheetData>
  <mergeCells count="4">
    <mergeCell ref="A1:E1"/>
    <mergeCell ref="A2:E2"/>
    <mergeCell ref="B4:E4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rightToLeft="1" topLeftCell="A79" zoomScaleNormal="100" workbookViewId="0">
      <selection sqref="A1:F1"/>
    </sheetView>
  </sheetViews>
  <sheetFormatPr defaultColWidth="8.7109375" defaultRowHeight="15" x14ac:dyDescent="0.25"/>
  <cols>
    <col min="1" max="1" width="6" style="9" customWidth="1"/>
    <col min="2" max="2" width="22" style="9" customWidth="1"/>
    <col min="3" max="3" width="46" style="9" customWidth="1"/>
    <col min="4" max="4" width="30" style="9" customWidth="1"/>
    <col min="5" max="5" width="14" style="9" customWidth="1"/>
    <col min="6" max="6" width="20" style="9" customWidth="1"/>
  </cols>
  <sheetData>
    <row r="1" spans="1:6" ht="17.25" customHeight="1" x14ac:dyDescent="0.25">
      <c r="A1" s="5" t="s">
        <v>24</v>
      </c>
      <c r="B1" s="5"/>
      <c r="C1" s="5"/>
      <c r="D1" s="5"/>
      <c r="E1" s="5"/>
      <c r="F1" s="5"/>
    </row>
    <row r="2" spans="1:6" ht="15" customHeight="1" x14ac:dyDescent="0.25">
      <c r="A2" s="4" t="s">
        <v>25</v>
      </c>
      <c r="B2" s="4"/>
      <c r="C2" s="4"/>
      <c r="D2" s="4"/>
      <c r="E2" s="4"/>
      <c r="F2" s="4"/>
    </row>
    <row r="3" spans="1:6" ht="9.75" customHeight="1" x14ac:dyDescent="0.25"/>
    <row r="4" spans="1:6" ht="15" customHeight="1" x14ac:dyDescent="0.25">
      <c r="A4" s="7" t="s">
        <v>26</v>
      </c>
      <c r="B4" s="7"/>
      <c r="C4" s="7"/>
      <c r="D4" s="7"/>
      <c r="E4" s="7"/>
      <c r="F4" s="7"/>
    </row>
    <row r="5" spans="1:6" ht="21.75" customHeight="1" x14ac:dyDescent="0.25">
      <c r="B5" s="18" t="s">
        <v>27</v>
      </c>
      <c r="C5" s="19"/>
    </row>
    <row r="6" spans="1:6" ht="21.75" customHeight="1" x14ac:dyDescent="0.25">
      <c r="B6" s="18" t="s">
        <v>28</v>
      </c>
      <c r="C6" s="19"/>
    </row>
    <row r="7" spans="1:6" ht="21.75" customHeight="1" x14ac:dyDescent="0.25">
      <c r="B7" s="18" t="s">
        <v>29</v>
      </c>
      <c r="C7" s="19"/>
    </row>
    <row r="8" spans="1:6" ht="21.75" customHeight="1" x14ac:dyDescent="0.25">
      <c r="B8" s="18" t="s">
        <v>30</v>
      </c>
      <c r="C8" s="19"/>
    </row>
    <row r="9" spans="1:6" ht="21.75" customHeight="1" x14ac:dyDescent="0.25">
      <c r="B9" s="18" t="s">
        <v>31</v>
      </c>
      <c r="C9" s="19"/>
    </row>
    <row r="10" spans="1:6" ht="9.75" customHeight="1" x14ac:dyDescent="0.25"/>
    <row r="11" spans="1:6" ht="27.75" customHeight="1" x14ac:dyDescent="0.25">
      <c r="A11" s="4" t="s">
        <v>32</v>
      </c>
      <c r="B11" s="4"/>
      <c r="C11" s="4"/>
      <c r="D11" s="4"/>
      <c r="E11" s="4"/>
      <c r="F11" s="4"/>
    </row>
    <row r="12" spans="1:6" ht="30" customHeight="1" x14ac:dyDescent="0.25">
      <c r="A12" s="20">
        <v>7</v>
      </c>
      <c r="B12" s="21" t="s">
        <v>33</v>
      </c>
      <c r="C12" s="22" t="s">
        <v>34</v>
      </c>
      <c r="D12" s="23"/>
      <c r="E12" s="24" t="s">
        <v>35</v>
      </c>
    </row>
    <row r="13" spans="1:6" ht="30" customHeight="1" x14ac:dyDescent="0.25">
      <c r="A13" s="20">
        <v>12</v>
      </c>
      <c r="B13" s="21" t="s">
        <v>36</v>
      </c>
      <c r="C13" s="22" t="s">
        <v>37</v>
      </c>
      <c r="D13" s="23"/>
      <c r="E13" s="24" t="s">
        <v>38</v>
      </c>
    </row>
    <row r="14" spans="1:6" ht="30" customHeight="1" x14ac:dyDescent="0.25">
      <c r="A14" s="20">
        <v>13</v>
      </c>
      <c r="B14" s="21" t="s">
        <v>39</v>
      </c>
      <c r="C14" s="22" t="s">
        <v>37</v>
      </c>
      <c r="D14" s="23"/>
      <c r="E14" s="24" t="s">
        <v>40</v>
      </c>
    </row>
    <row r="15" spans="1:6" ht="30" customHeight="1" x14ac:dyDescent="0.25">
      <c r="A15" s="20">
        <v>14</v>
      </c>
      <c r="B15" s="21" t="s">
        <v>41</v>
      </c>
      <c r="C15" s="22" t="s">
        <v>37</v>
      </c>
      <c r="D15" s="23"/>
      <c r="E15" s="24" t="s">
        <v>42</v>
      </c>
    </row>
    <row r="16" spans="1:6" ht="30" customHeight="1" x14ac:dyDescent="0.25">
      <c r="A16" s="20">
        <v>15</v>
      </c>
      <c r="B16" s="21" t="s">
        <v>43</v>
      </c>
      <c r="C16" s="22" t="s">
        <v>37</v>
      </c>
      <c r="D16" s="23"/>
      <c r="E16" s="24" t="s">
        <v>44</v>
      </c>
    </row>
    <row r="17" spans="1:6" ht="30" customHeight="1" x14ac:dyDescent="0.25">
      <c r="A17" s="20">
        <v>16</v>
      </c>
      <c r="B17" s="21" t="s">
        <v>45</v>
      </c>
      <c r="C17" s="22" t="s">
        <v>37</v>
      </c>
      <c r="D17" s="23"/>
      <c r="E17" s="24" t="s">
        <v>46</v>
      </c>
    </row>
    <row r="18" spans="1:6" ht="30" customHeight="1" x14ac:dyDescent="0.25">
      <c r="A18" s="20">
        <v>17</v>
      </c>
      <c r="B18" s="21" t="s">
        <v>47</v>
      </c>
      <c r="C18" s="22" t="s">
        <v>37</v>
      </c>
      <c r="D18" s="23"/>
      <c r="E18" s="24" t="s">
        <v>48</v>
      </c>
    </row>
    <row r="19" spans="1:6" ht="27.75" customHeight="1" x14ac:dyDescent="0.25">
      <c r="A19" s="4" t="s">
        <v>49</v>
      </c>
      <c r="B19" s="4"/>
      <c r="C19" s="4"/>
      <c r="D19" s="4"/>
      <c r="E19" s="4"/>
      <c r="F19" s="4"/>
    </row>
    <row r="20" spans="1:6" ht="30" customHeight="1" x14ac:dyDescent="0.25">
      <c r="A20" s="20">
        <v>24</v>
      </c>
      <c r="B20" s="21" t="s">
        <v>50</v>
      </c>
      <c r="C20" s="22" t="s">
        <v>51</v>
      </c>
      <c r="D20" s="23"/>
      <c r="E20" s="24" t="s">
        <v>52</v>
      </c>
    </row>
    <row r="21" spans="1:6" ht="30" customHeight="1" x14ac:dyDescent="0.25">
      <c r="A21" s="20">
        <v>25</v>
      </c>
      <c r="B21" s="21" t="s">
        <v>53</v>
      </c>
      <c r="C21" s="22" t="s">
        <v>54</v>
      </c>
      <c r="D21" s="23"/>
      <c r="E21" s="24" t="s">
        <v>55</v>
      </c>
    </row>
    <row r="22" spans="1:6" ht="30" customHeight="1" x14ac:dyDescent="0.25">
      <c r="A22" s="20">
        <v>26</v>
      </c>
      <c r="B22" s="21" t="s">
        <v>56</v>
      </c>
      <c r="C22" s="22" t="s">
        <v>57</v>
      </c>
      <c r="D22" s="23"/>
      <c r="E22" s="24" t="s">
        <v>58</v>
      </c>
    </row>
    <row r="23" spans="1:6" ht="30" customHeight="1" x14ac:dyDescent="0.25">
      <c r="A23" s="20">
        <v>27</v>
      </c>
      <c r="B23" s="21" t="s">
        <v>59</v>
      </c>
      <c r="C23" s="22" t="s">
        <v>60</v>
      </c>
      <c r="D23" s="23"/>
      <c r="E23" s="24" t="s">
        <v>61</v>
      </c>
    </row>
    <row r="24" spans="1:6" ht="30" customHeight="1" x14ac:dyDescent="0.25">
      <c r="A24" s="20">
        <v>28</v>
      </c>
      <c r="B24" s="21" t="s">
        <v>62</v>
      </c>
      <c r="C24" s="22" t="s">
        <v>60</v>
      </c>
      <c r="D24" s="23"/>
      <c r="E24" s="24" t="s">
        <v>63</v>
      </c>
    </row>
    <row r="25" spans="1:6" ht="30" customHeight="1" x14ac:dyDescent="0.25">
      <c r="A25" s="20">
        <v>29</v>
      </c>
      <c r="B25" s="21" t="s">
        <v>64</v>
      </c>
      <c r="C25" s="22" t="s">
        <v>60</v>
      </c>
      <c r="D25" s="23"/>
      <c r="E25" s="24" t="s">
        <v>65</v>
      </c>
    </row>
    <row r="26" spans="1:6" ht="30" customHeight="1" x14ac:dyDescent="0.25">
      <c r="A26" s="20">
        <v>30</v>
      </c>
      <c r="B26" s="21" t="s">
        <v>66</v>
      </c>
      <c r="C26" s="22" t="s">
        <v>60</v>
      </c>
      <c r="D26" s="23"/>
      <c r="E26" s="24" t="s">
        <v>67</v>
      </c>
    </row>
    <row r="27" spans="1:6" ht="30" customHeight="1" x14ac:dyDescent="0.25">
      <c r="A27" s="20">
        <v>31</v>
      </c>
      <c r="B27" s="21" t="s">
        <v>68</v>
      </c>
      <c r="C27" s="22" t="s">
        <v>60</v>
      </c>
      <c r="D27" s="23"/>
      <c r="E27" s="24" t="s">
        <v>69</v>
      </c>
    </row>
    <row r="28" spans="1:6" ht="30" customHeight="1" x14ac:dyDescent="0.25">
      <c r="A28" s="20">
        <v>32</v>
      </c>
      <c r="B28" s="21" t="s">
        <v>70</v>
      </c>
      <c r="C28" s="22" t="s">
        <v>60</v>
      </c>
      <c r="D28" s="23"/>
      <c r="E28" s="24" t="s">
        <v>71</v>
      </c>
    </row>
    <row r="29" spans="1:6" ht="30" customHeight="1" x14ac:dyDescent="0.25">
      <c r="A29" s="20">
        <v>33</v>
      </c>
      <c r="B29" s="21" t="s">
        <v>72</v>
      </c>
      <c r="C29" s="22" t="s">
        <v>60</v>
      </c>
      <c r="D29" s="23"/>
      <c r="E29" s="24" t="s">
        <v>73</v>
      </c>
    </row>
    <row r="30" spans="1:6" ht="30" customHeight="1" x14ac:dyDescent="0.25">
      <c r="A30" s="20">
        <v>34</v>
      </c>
      <c r="B30" s="21" t="s">
        <v>74</v>
      </c>
      <c r="C30" s="22" t="s">
        <v>60</v>
      </c>
      <c r="D30" s="23"/>
      <c r="E30" s="24" t="s">
        <v>75</v>
      </c>
    </row>
    <row r="31" spans="1:6" ht="30" customHeight="1" x14ac:dyDescent="0.25">
      <c r="A31" s="20">
        <v>35</v>
      </c>
      <c r="B31" s="21" t="s">
        <v>76</v>
      </c>
      <c r="C31" s="22" t="s">
        <v>77</v>
      </c>
      <c r="D31" s="23"/>
      <c r="E31" s="24" t="s">
        <v>78</v>
      </c>
    </row>
    <row r="32" spans="1:6" ht="30" customHeight="1" x14ac:dyDescent="0.25">
      <c r="A32" s="20">
        <v>36</v>
      </c>
      <c r="B32" s="21" t="s">
        <v>79</v>
      </c>
      <c r="C32" s="22" t="s">
        <v>60</v>
      </c>
      <c r="D32" s="23"/>
      <c r="E32" s="24" t="s">
        <v>80</v>
      </c>
    </row>
    <row r="33" spans="1:6" ht="30" customHeight="1" x14ac:dyDescent="0.25">
      <c r="A33" s="20">
        <v>37</v>
      </c>
      <c r="B33" s="21" t="s">
        <v>81</v>
      </c>
      <c r="C33" s="22" t="s">
        <v>82</v>
      </c>
      <c r="D33" s="23"/>
      <c r="E33" s="24" t="s">
        <v>83</v>
      </c>
    </row>
    <row r="34" spans="1:6" ht="30" customHeight="1" x14ac:dyDescent="0.25">
      <c r="A34" s="20">
        <v>38</v>
      </c>
      <c r="B34" s="21" t="s">
        <v>84</v>
      </c>
      <c r="C34" s="22" t="s">
        <v>60</v>
      </c>
      <c r="D34" s="23"/>
      <c r="E34" s="24" t="s">
        <v>85</v>
      </c>
    </row>
    <row r="35" spans="1:6" ht="30" customHeight="1" x14ac:dyDescent="0.25">
      <c r="A35" s="20">
        <v>39</v>
      </c>
      <c r="B35" s="21" t="s">
        <v>86</v>
      </c>
      <c r="C35" s="22" t="s">
        <v>82</v>
      </c>
      <c r="D35" s="23"/>
      <c r="E35" s="24" t="s">
        <v>87</v>
      </c>
    </row>
    <row r="36" spans="1:6" ht="30" customHeight="1" x14ac:dyDescent="0.25">
      <c r="A36" s="20">
        <v>40</v>
      </c>
      <c r="B36" s="21" t="s">
        <v>88</v>
      </c>
      <c r="C36" s="22" t="s">
        <v>60</v>
      </c>
      <c r="D36" s="23"/>
      <c r="E36" s="24" t="s">
        <v>89</v>
      </c>
    </row>
    <row r="37" spans="1:6" ht="30" customHeight="1" x14ac:dyDescent="0.25">
      <c r="A37" s="20">
        <v>41</v>
      </c>
      <c r="B37" s="21" t="s">
        <v>90</v>
      </c>
      <c r="C37" s="22" t="s">
        <v>82</v>
      </c>
      <c r="D37" s="23"/>
      <c r="E37" s="24" t="s">
        <v>91</v>
      </c>
    </row>
    <row r="38" spans="1:6" ht="30" customHeight="1" x14ac:dyDescent="0.25">
      <c r="A38" s="20">
        <v>42</v>
      </c>
      <c r="B38" s="21" t="s">
        <v>92</v>
      </c>
      <c r="C38" s="22" t="s">
        <v>82</v>
      </c>
      <c r="D38" s="23"/>
      <c r="E38" s="24" t="s">
        <v>93</v>
      </c>
    </row>
    <row r="39" spans="1:6" ht="27.75" customHeight="1" x14ac:dyDescent="0.25">
      <c r="A39" s="4" t="s">
        <v>94</v>
      </c>
      <c r="B39" s="4"/>
      <c r="C39" s="4"/>
      <c r="D39" s="4"/>
      <c r="E39" s="4"/>
      <c r="F39" s="4"/>
    </row>
    <row r="40" spans="1:6" ht="30" customHeight="1" x14ac:dyDescent="0.25">
      <c r="A40" s="20">
        <v>44</v>
      </c>
      <c r="B40" s="21" t="s">
        <v>95</v>
      </c>
      <c r="C40" s="22" t="s">
        <v>96</v>
      </c>
      <c r="D40" s="23"/>
      <c r="E40" s="24" t="s">
        <v>97</v>
      </c>
    </row>
    <row r="41" spans="1:6" ht="30" customHeight="1" x14ac:dyDescent="0.25">
      <c r="A41" s="20">
        <v>45</v>
      </c>
      <c r="B41" s="21" t="s">
        <v>98</v>
      </c>
      <c r="C41" s="22" t="s">
        <v>96</v>
      </c>
      <c r="D41" s="23"/>
      <c r="E41" s="24" t="s">
        <v>99</v>
      </c>
    </row>
    <row r="42" spans="1:6" ht="30" customHeight="1" x14ac:dyDescent="0.25">
      <c r="A42" s="20">
        <v>46</v>
      </c>
      <c r="B42" s="21" t="s">
        <v>100</v>
      </c>
      <c r="C42" s="22" t="s">
        <v>96</v>
      </c>
      <c r="D42" s="23"/>
      <c r="E42" s="24" t="s">
        <v>101</v>
      </c>
    </row>
    <row r="43" spans="1:6" ht="30" customHeight="1" x14ac:dyDescent="0.25">
      <c r="A43" s="20">
        <v>47</v>
      </c>
      <c r="B43" s="21" t="s">
        <v>102</v>
      </c>
      <c r="C43" s="22" t="s">
        <v>96</v>
      </c>
      <c r="D43" s="23"/>
      <c r="E43" s="24" t="s">
        <v>103</v>
      </c>
    </row>
    <row r="44" spans="1:6" ht="30" customHeight="1" x14ac:dyDescent="0.25">
      <c r="A44" s="20">
        <v>48</v>
      </c>
      <c r="B44" s="21" t="s">
        <v>104</v>
      </c>
      <c r="C44" s="22" t="s">
        <v>105</v>
      </c>
      <c r="D44" s="23"/>
      <c r="E44" s="24" t="s">
        <v>106</v>
      </c>
    </row>
    <row r="45" spans="1:6" ht="27.75" customHeight="1" x14ac:dyDescent="0.25">
      <c r="A45" s="4" t="s">
        <v>107</v>
      </c>
      <c r="B45" s="4"/>
      <c r="C45" s="4"/>
      <c r="D45" s="4"/>
      <c r="E45" s="4"/>
      <c r="F45" s="4"/>
    </row>
    <row r="46" spans="1:6" ht="30" customHeight="1" x14ac:dyDescent="0.25">
      <c r="A46" s="20">
        <v>49</v>
      </c>
      <c r="B46" s="21" t="s">
        <v>108</v>
      </c>
      <c r="C46" s="22" t="s">
        <v>109</v>
      </c>
      <c r="D46" s="23"/>
      <c r="E46" s="24" t="s">
        <v>110</v>
      </c>
    </row>
    <row r="47" spans="1:6" ht="30" customHeight="1" x14ac:dyDescent="0.25">
      <c r="A47" s="20">
        <v>50</v>
      </c>
      <c r="B47" s="21" t="s">
        <v>111</v>
      </c>
      <c r="C47" s="22" t="s">
        <v>112</v>
      </c>
      <c r="D47" s="23"/>
      <c r="E47" s="24" t="s">
        <v>113</v>
      </c>
    </row>
    <row r="48" spans="1:6" ht="30" customHeight="1" x14ac:dyDescent="0.25">
      <c r="A48" s="20">
        <v>51</v>
      </c>
      <c r="B48" s="21" t="s">
        <v>114</v>
      </c>
      <c r="C48" s="22" t="s">
        <v>115</v>
      </c>
      <c r="D48" s="23"/>
      <c r="E48" s="24" t="s">
        <v>116</v>
      </c>
    </row>
    <row r="49" spans="1:6" ht="30" customHeight="1" x14ac:dyDescent="0.25">
      <c r="A49" s="20">
        <v>52</v>
      </c>
      <c r="B49" s="21" t="s">
        <v>117</v>
      </c>
      <c r="C49" s="22" t="s">
        <v>118</v>
      </c>
      <c r="D49" s="23"/>
      <c r="E49" s="24" t="s">
        <v>119</v>
      </c>
    </row>
    <row r="50" spans="1:6" ht="30" customHeight="1" x14ac:dyDescent="0.25">
      <c r="A50" s="20">
        <v>53</v>
      </c>
      <c r="B50" s="21" t="s">
        <v>120</v>
      </c>
      <c r="C50" s="22" t="s">
        <v>121</v>
      </c>
      <c r="D50" s="23"/>
      <c r="E50" s="24" t="s">
        <v>122</v>
      </c>
    </row>
    <row r="51" spans="1:6" ht="30" customHeight="1" x14ac:dyDescent="0.25">
      <c r="A51" s="20">
        <v>54</v>
      </c>
      <c r="B51" s="21" t="s">
        <v>123</v>
      </c>
      <c r="C51" s="22" t="s">
        <v>109</v>
      </c>
      <c r="D51" s="23"/>
      <c r="E51" s="24" t="s">
        <v>124</v>
      </c>
    </row>
    <row r="52" spans="1:6" ht="27.75" customHeight="1" x14ac:dyDescent="0.25">
      <c r="A52" s="4" t="s">
        <v>125</v>
      </c>
      <c r="B52" s="4"/>
      <c r="C52" s="4"/>
      <c r="D52" s="4"/>
      <c r="E52" s="4"/>
      <c r="F52" s="4"/>
    </row>
    <row r="53" spans="1:6" ht="30" customHeight="1" x14ac:dyDescent="0.25">
      <c r="A53" s="20">
        <v>57</v>
      </c>
      <c r="B53" s="21" t="s">
        <v>126</v>
      </c>
      <c r="C53" s="22" t="s">
        <v>127</v>
      </c>
      <c r="D53" s="23"/>
      <c r="E53" s="24" t="s">
        <v>128</v>
      </c>
    </row>
    <row r="54" spans="1:6" ht="30" customHeight="1" x14ac:dyDescent="0.25">
      <c r="A54" s="20">
        <v>58</v>
      </c>
      <c r="B54" s="21" t="s">
        <v>129</v>
      </c>
      <c r="C54" s="22" t="s">
        <v>112</v>
      </c>
      <c r="D54" s="23"/>
      <c r="E54" s="24" t="s">
        <v>130</v>
      </c>
    </row>
    <row r="55" spans="1:6" ht="30" customHeight="1" x14ac:dyDescent="0.25">
      <c r="A55" s="20">
        <v>59</v>
      </c>
      <c r="B55" s="21" t="s">
        <v>131</v>
      </c>
      <c r="C55" s="22" t="s">
        <v>132</v>
      </c>
      <c r="D55" s="23"/>
      <c r="E55" s="24" t="s">
        <v>133</v>
      </c>
    </row>
    <row r="56" spans="1:6" ht="30" customHeight="1" x14ac:dyDescent="0.25">
      <c r="A56" s="20">
        <v>60</v>
      </c>
      <c r="B56" s="21" t="s">
        <v>134</v>
      </c>
      <c r="C56" s="22" t="s">
        <v>118</v>
      </c>
      <c r="D56" s="23"/>
      <c r="E56" s="24" t="s">
        <v>135</v>
      </c>
    </row>
    <row r="57" spans="1:6" ht="30" customHeight="1" x14ac:dyDescent="0.25">
      <c r="A57" s="20">
        <v>61</v>
      </c>
      <c r="B57" s="21" t="s">
        <v>136</v>
      </c>
      <c r="C57" s="22" t="s">
        <v>137</v>
      </c>
      <c r="D57" s="23"/>
      <c r="E57" s="24" t="s">
        <v>138</v>
      </c>
    </row>
    <row r="58" spans="1:6" ht="30" customHeight="1" x14ac:dyDescent="0.25">
      <c r="A58" s="20">
        <v>62</v>
      </c>
      <c r="B58" s="21" t="s">
        <v>139</v>
      </c>
      <c r="C58" s="22" t="s">
        <v>140</v>
      </c>
      <c r="D58" s="23"/>
      <c r="E58" s="24" t="s">
        <v>141</v>
      </c>
    </row>
    <row r="59" spans="1:6" ht="30" customHeight="1" x14ac:dyDescent="0.25">
      <c r="A59" s="20">
        <v>63</v>
      </c>
      <c r="B59" s="21" t="s">
        <v>142</v>
      </c>
      <c r="C59" s="22" t="s">
        <v>143</v>
      </c>
      <c r="D59" s="23"/>
      <c r="E59" s="24" t="s">
        <v>144</v>
      </c>
    </row>
    <row r="60" spans="1:6" ht="27.75" customHeight="1" x14ac:dyDescent="0.25">
      <c r="A60" s="4" t="s">
        <v>145</v>
      </c>
      <c r="B60" s="4"/>
      <c r="C60" s="4"/>
      <c r="D60" s="4"/>
      <c r="E60" s="4"/>
      <c r="F60" s="4"/>
    </row>
    <row r="61" spans="1:6" ht="30" customHeight="1" x14ac:dyDescent="0.25">
      <c r="A61" s="20">
        <v>65</v>
      </c>
      <c r="B61" s="21" t="s">
        <v>146</v>
      </c>
      <c r="C61" s="22" t="s">
        <v>147</v>
      </c>
      <c r="D61" s="23"/>
      <c r="E61" s="24" t="s">
        <v>148</v>
      </c>
    </row>
    <row r="62" spans="1:6" ht="30" customHeight="1" x14ac:dyDescent="0.25">
      <c r="A62" s="20">
        <v>66</v>
      </c>
      <c r="B62" s="21" t="s">
        <v>149</v>
      </c>
      <c r="C62" s="22" t="s">
        <v>150</v>
      </c>
      <c r="D62" s="23"/>
      <c r="E62" s="24" t="s">
        <v>151</v>
      </c>
    </row>
    <row r="63" spans="1:6" ht="30" customHeight="1" x14ac:dyDescent="0.25">
      <c r="A63" s="20">
        <v>67</v>
      </c>
      <c r="B63" s="21" t="s">
        <v>152</v>
      </c>
      <c r="C63" s="22" t="s">
        <v>153</v>
      </c>
      <c r="D63" s="23"/>
      <c r="E63" s="24" t="s">
        <v>154</v>
      </c>
    </row>
    <row r="64" spans="1:6" ht="30" customHeight="1" x14ac:dyDescent="0.25">
      <c r="A64" s="20">
        <v>68</v>
      </c>
      <c r="B64" s="21" t="s">
        <v>155</v>
      </c>
      <c r="C64" s="22" t="s">
        <v>156</v>
      </c>
      <c r="D64" s="23"/>
      <c r="E64" s="24" t="s">
        <v>157</v>
      </c>
    </row>
    <row r="65" spans="1:6" ht="30" customHeight="1" x14ac:dyDescent="0.25">
      <c r="A65" s="20">
        <v>69</v>
      </c>
      <c r="B65" s="21" t="s">
        <v>158</v>
      </c>
      <c r="C65" s="22" t="s">
        <v>159</v>
      </c>
      <c r="D65" s="23"/>
      <c r="E65" s="24" t="s">
        <v>160</v>
      </c>
    </row>
    <row r="66" spans="1:6" ht="27.75" customHeight="1" x14ac:dyDescent="0.25">
      <c r="A66" s="4" t="s">
        <v>161</v>
      </c>
      <c r="B66" s="4"/>
      <c r="C66" s="4"/>
      <c r="D66" s="4"/>
      <c r="E66" s="4"/>
      <c r="F66" s="4"/>
    </row>
    <row r="67" spans="1:6" ht="30" customHeight="1" x14ac:dyDescent="0.25">
      <c r="A67" s="20">
        <v>70</v>
      </c>
      <c r="B67" s="21" t="s">
        <v>162</v>
      </c>
      <c r="C67" s="22" t="s">
        <v>163</v>
      </c>
      <c r="D67" s="23"/>
      <c r="E67" s="24" t="s">
        <v>164</v>
      </c>
    </row>
    <row r="68" spans="1:6" ht="30" customHeight="1" x14ac:dyDescent="0.25">
      <c r="A68" s="20">
        <v>71</v>
      </c>
      <c r="B68" s="21" t="s">
        <v>165</v>
      </c>
      <c r="C68" s="22" t="s">
        <v>166</v>
      </c>
      <c r="D68" s="23"/>
      <c r="E68" s="24" t="s">
        <v>167</v>
      </c>
    </row>
    <row r="69" spans="1:6" ht="30" customHeight="1" x14ac:dyDescent="0.25">
      <c r="A69" s="20">
        <v>72</v>
      </c>
      <c r="B69" s="21" t="s">
        <v>168</v>
      </c>
      <c r="C69" s="22" t="s">
        <v>169</v>
      </c>
      <c r="D69" s="23"/>
      <c r="E69" s="24" t="s">
        <v>170</v>
      </c>
    </row>
    <row r="70" spans="1:6" ht="27.75" customHeight="1" x14ac:dyDescent="0.25">
      <c r="A70" s="4" t="s">
        <v>171</v>
      </c>
      <c r="B70" s="4"/>
      <c r="C70" s="4"/>
      <c r="D70" s="4"/>
      <c r="E70" s="4"/>
      <c r="F70" s="4"/>
    </row>
    <row r="71" spans="1:6" ht="30" customHeight="1" x14ac:dyDescent="0.25">
      <c r="A71" s="20">
        <v>73</v>
      </c>
      <c r="B71" s="21" t="s">
        <v>172</v>
      </c>
      <c r="C71" s="22" t="s">
        <v>173</v>
      </c>
      <c r="D71" s="23"/>
      <c r="E71" s="24" t="s">
        <v>174</v>
      </c>
    </row>
    <row r="72" spans="1:6" ht="30" customHeight="1" x14ac:dyDescent="0.25">
      <c r="A72" s="20">
        <v>74</v>
      </c>
      <c r="B72" s="21" t="s">
        <v>175</v>
      </c>
      <c r="C72" s="22" t="s">
        <v>176</v>
      </c>
      <c r="D72" s="23"/>
      <c r="E72" s="24" t="s">
        <v>177</v>
      </c>
    </row>
    <row r="73" spans="1:6" ht="27.75" customHeight="1" x14ac:dyDescent="0.25">
      <c r="A73" s="4" t="s">
        <v>178</v>
      </c>
      <c r="B73" s="4"/>
      <c r="C73" s="4"/>
      <c r="D73" s="4"/>
      <c r="E73" s="4"/>
      <c r="F73" s="4"/>
    </row>
    <row r="74" spans="1:6" ht="30" customHeight="1" x14ac:dyDescent="0.25">
      <c r="A74" s="20">
        <v>77</v>
      </c>
      <c r="B74" s="21" t="s">
        <v>179</v>
      </c>
      <c r="C74" s="22" t="s">
        <v>180</v>
      </c>
      <c r="D74" s="23"/>
      <c r="E74" s="24" t="s">
        <v>181</v>
      </c>
    </row>
    <row r="75" spans="1:6" ht="30" customHeight="1" x14ac:dyDescent="0.25">
      <c r="A75" s="20">
        <v>78</v>
      </c>
      <c r="B75" s="21" t="s">
        <v>182</v>
      </c>
      <c r="C75" s="22" t="s">
        <v>180</v>
      </c>
      <c r="D75" s="23"/>
      <c r="E75" s="24" t="s">
        <v>183</v>
      </c>
    </row>
    <row r="76" spans="1:6" ht="30" customHeight="1" x14ac:dyDescent="0.25">
      <c r="A76" s="20">
        <v>79</v>
      </c>
      <c r="B76" s="21" t="s">
        <v>184</v>
      </c>
      <c r="C76" s="22" t="s">
        <v>180</v>
      </c>
      <c r="D76" s="23"/>
      <c r="E76" s="24" t="s">
        <v>185</v>
      </c>
    </row>
    <row r="77" spans="1:6" ht="30" customHeight="1" x14ac:dyDescent="0.25">
      <c r="A77" s="20">
        <v>80</v>
      </c>
      <c r="B77" s="21" t="s">
        <v>186</v>
      </c>
      <c r="C77" s="22" t="s">
        <v>180</v>
      </c>
      <c r="D77" s="23"/>
      <c r="E77" s="24" t="s">
        <v>187</v>
      </c>
    </row>
    <row r="78" spans="1:6" ht="30" customHeight="1" x14ac:dyDescent="0.25">
      <c r="A78" s="20">
        <v>81</v>
      </c>
      <c r="B78" s="21" t="s">
        <v>188</v>
      </c>
      <c r="C78" s="22" t="s">
        <v>180</v>
      </c>
      <c r="D78" s="23"/>
      <c r="E78" s="24" t="s">
        <v>189</v>
      </c>
    </row>
    <row r="79" spans="1:6" ht="27.75" customHeight="1" x14ac:dyDescent="0.25">
      <c r="A79" s="4" t="s">
        <v>190</v>
      </c>
      <c r="B79" s="4"/>
      <c r="C79" s="4"/>
      <c r="D79" s="4"/>
      <c r="E79" s="4"/>
      <c r="F79" s="4"/>
    </row>
    <row r="80" spans="1:6" ht="30" customHeight="1" x14ac:dyDescent="0.25">
      <c r="A80" s="20">
        <v>83</v>
      </c>
      <c r="B80" s="21" t="s">
        <v>191</v>
      </c>
      <c r="C80" s="22" t="s">
        <v>192</v>
      </c>
      <c r="D80" s="23"/>
      <c r="E80" s="24" t="s">
        <v>193</v>
      </c>
    </row>
    <row r="81" spans="1:6" ht="30" customHeight="1" x14ac:dyDescent="0.25">
      <c r="A81" s="20">
        <v>84</v>
      </c>
      <c r="B81" s="21" t="s">
        <v>194</v>
      </c>
      <c r="C81" s="22" t="s">
        <v>192</v>
      </c>
      <c r="D81" s="23"/>
      <c r="E81" s="24" t="s">
        <v>195</v>
      </c>
    </row>
    <row r="82" spans="1:6" ht="30" customHeight="1" x14ac:dyDescent="0.25">
      <c r="A82" s="20">
        <v>85</v>
      </c>
      <c r="B82" s="21" t="s">
        <v>196</v>
      </c>
      <c r="C82" s="22" t="s">
        <v>192</v>
      </c>
      <c r="D82" s="23"/>
      <c r="E82" s="24" t="s">
        <v>197</v>
      </c>
    </row>
    <row r="83" spans="1:6" ht="30" customHeight="1" x14ac:dyDescent="0.25">
      <c r="A83" s="20">
        <v>86</v>
      </c>
      <c r="B83" s="21" t="s">
        <v>198</v>
      </c>
      <c r="C83" s="22" t="s">
        <v>192</v>
      </c>
      <c r="D83" s="23"/>
      <c r="E83" s="24" t="s">
        <v>199</v>
      </c>
    </row>
    <row r="84" spans="1:6" ht="27.75" customHeight="1" x14ac:dyDescent="0.25">
      <c r="A84" s="4" t="s">
        <v>200</v>
      </c>
      <c r="B84" s="4"/>
      <c r="C84" s="4"/>
      <c r="D84" s="4"/>
      <c r="E84" s="4"/>
      <c r="F84" s="4"/>
    </row>
    <row r="85" spans="1:6" ht="30" customHeight="1" x14ac:dyDescent="0.25">
      <c r="A85" s="20">
        <v>87</v>
      </c>
      <c r="B85" s="21" t="s">
        <v>201</v>
      </c>
      <c r="C85" s="22" t="s">
        <v>202</v>
      </c>
      <c r="D85" s="23"/>
      <c r="E85" s="24" t="s">
        <v>203</v>
      </c>
    </row>
    <row r="86" spans="1:6" ht="30" customHeight="1" x14ac:dyDescent="0.25">
      <c r="A86" s="20">
        <v>88</v>
      </c>
      <c r="B86" s="21" t="s">
        <v>204</v>
      </c>
      <c r="C86" s="22" t="s">
        <v>205</v>
      </c>
      <c r="D86" s="23"/>
      <c r="E86" s="24" t="s">
        <v>206</v>
      </c>
    </row>
    <row r="87" spans="1:6" ht="30" customHeight="1" x14ac:dyDescent="0.25">
      <c r="A87" s="20">
        <v>89</v>
      </c>
      <c r="B87" s="21" t="s">
        <v>207</v>
      </c>
      <c r="C87" s="22" t="s">
        <v>208</v>
      </c>
      <c r="D87" s="23"/>
      <c r="E87" s="24" t="s">
        <v>209</v>
      </c>
    </row>
    <row r="88" spans="1:6" ht="27.75" customHeight="1" x14ac:dyDescent="0.25">
      <c r="A88" s="4" t="s">
        <v>210</v>
      </c>
      <c r="B88" s="4"/>
      <c r="C88" s="4"/>
      <c r="D88" s="4"/>
      <c r="E88" s="4"/>
      <c r="F88" s="4"/>
    </row>
    <row r="89" spans="1:6" ht="30" customHeight="1" x14ac:dyDescent="0.25">
      <c r="A89" s="20">
        <v>91</v>
      </c>
      <c r="B89" s="21" t="s">
        <v>211</v>
      </c>
      <c r="C89" s="22" t="s">
        <v>212</v>
      </c>
      <c r="D89" s="23"/>
      <c r="E89" s="24" t="s">
        <v>213</v>
      </c>
    </row>
    <row r="90" spans="1:6" ht="30" customHeight="1" x14ac:dyDescent="0.25">
      <c r="A90" s="20">
        <v>92</v>
      </c>
      <c r="B90" s="21" t="s">
        <v>214</v>
      </c>
      <c r="C90" s="22" t="s">
        <v>212</v>
      </c>
      <c r="D90" s="23"/>
      <c r="E90" s="24" t="s">
        <v>215</v>
      </c>
    </row>
    <row r="91" spans="1:6" ht="30" customHeight="1" x14ac:dyDescent="0.25">
      <c r="A91" s="20">
        <v>93</v>
      </c>
      <c r="B91" s="21" t="s">
        <v>216</v>
      </c>
      <c r="C91" s="22" t="s">
        <v>212</v>
      </c>
      <c r="D91" s="23"/>
      <c r="E91" s="24" t="s">
        <v>217</v>
      </c>
    </row>
    <row r="92" spans="1:6" ht="30" customHeight="1" x14ac:dyDescent="0.25">
      <c r="A92" s="20">
        <v>94</v>
      </c>
      <c r="B92" s="21" t="s">
        <v>218</v>
      </c>
      <c r="C92" s="22" t="s">
        <v>212</v>
      </c>
      <c r="D92" s="23"/>
      <c r="E92" s="24" t="s">
        <v>219</v>
      </c>
    </row>
    <row r="93" spans="1:6" ht="27.75" customHeight="1" x14ac:dyDescent="0.25">
      <c r="A93" s="4" t="s">
        <v>220</v>
      </c>
      <c r="B93" s="4"/>
      <c r="C93" s="4"/>
      <c r="D93" s="4"/>
      <c r="E93" s="4"/>
      <c r="F93" s="4"/>
    </row>
    <row r="94" spans="1:6" ht="30" customHeight="1" x14ac:dyDescent="0.25">
      <c r="A94" s="20">
        <v>100</v>
      </c>
      <c r="B94" s="21" t="s">
        <v>221</v>
      </c>
      <c r="C94" s="22" t="s">
        <v>222</v>
      </c>
      <c r="D94" s="23"/>
      <c r="E94" s="24" t="s">
        <v>223</v>
      </c>
    </row>
    <row r="95" spans="1:6" ht="30" customHeight="1" x14ac:dyDescent="0.25">
      <c r="A95" s="20">
        <v>101</v>
      </c>
      <c r="B95" s="21" t="s">
        <v>224</v>
      </c>
      <c r="C95" s="22" t="s">
        <v>225</v>
      </c>
      <c r="D95" s="23"/>
      <c r="E95" s="24" t="s">
        <v>226</v>
      </c>
    </row>
  </sheetData>
  <mergeCells count="16">
    <mergeCell ref="A93:F93"/>
    <mergeCell ref="A70:F70"/>
    <mergeCell ref="A73:F73"/>
    <mergeCell ref="A79:F79"/>
    <mergeCell ref="A84:F84"/>
    <mergeCell ref="A88:F88"/>
    <mergeCell ref="A39:F39"/>
    <mergeCell ref="A45:F45"/>
    <mergeCell ref="A52:F52"/>
    <mergeCell ref="A60:F60"/>
    <mergeCell ref="A66:F66"/>
    <mergeCell ref="A1:F1"/>
    <mergeCell ref="A2:F2"/>
    <mergeCell ref="A4:F4"/>
    <mergeCell ref="A11:F11"/>
    <mergeCell ref="A19:F19"/>
  </mergeCells>
  <dataValidations count="55">
    <dataValidation type="decimal" allowBlank="1" sqref="D12">
      <formula1>0</formula1>
      <formula2>3</formula2>
    </dataValidation>
    <dataValidation type="list" allowBlank="1" sqref="D13">
      <formula1>"0,1"</formula1>
      <formula2>0</formula2>
    </dataValidation>
    <dataValidation type="list" allowBlank="1" sqref="D14">
      <formula1>"0,1"</formula1>
      <formula2>0</formula2>
    </dataValidation>
    <dataValidation type="list" allowBlank="1" sqref="D15">
      <formula1>"0,1"</formula1>
      <formula2>0</formula2>
    </dataValidation>
    <dataValidation type="list" allowBlank="1" sqref="D16">
      <formula1>"0,1"</formula1>
      <formula2>0</formula2>
    </dataValidation>
    <dataValidation type="list" allowBlank="1" sqref="D17">
      <formula1>"0,1"</formula1>
      <formula2>0</formula2>
    </dataValidation>
    <dataValidation type="list" allowBlank="1" sqref="D18">
      <formula1>"0,1"</formula1>
      <formula2>0</formula2>
    </dataValidation>
    <dataValidation type="list" allowBlank="1" sqref="D20">
      <formula1>"0,1"</formula1>
      <formula2>0</formula2>
    </dataValidation>
    <dataValidation type="decimal" allowBlank="1" sqref="D21:D22 D26:D27 D30">
      <formula1>0</formula1>
      <formula2>10</formula2>
    </dataValidation>
    <dataValidation type="decimal" allowBlank="1" sqref="D23:D25 D28:D29 D33:D38">
      <formula1>0</formula1>
      <formula2>21</formula2>
    </dataValidation>
    <dataValidation type="decimal" allowBlank="1" sqref="D31 D57">
      <formula1>0</formula1>
      <formula2>15</formula2>
    </dataValidation>
    <dataValidation type="decimal" allowBlank="1" sqref="D32">
      <formula1>0</formula1>
      <formula2>30</formula2>
    </dataValidation>
    <dataValidation type="list" allowBlank="1" sqref="D40">
      <formula1>"1,2,3,4"</formula1>
      <formula2>0</formula2>
    </dataValidation>
    <dataValidation type="list" allowBlank="1" sqref="D41">
      <formula1>"1,2,3,4"</formula1>
      <formula2>0</formula2>
    </dataValidation>
    <dataValidation type="list" allowBlank="1" sqref="D42">
      <formula1>"1,2,3,4"</formula1>
      <formula2>0</formula2>
    </dataValidation>
    <dataValidation type="list" allowBlank="1" sqref="D43">
      <formula1>"1,2,3,4"</formula1>
      <formula2>0</formula2>
    </dataValidation>
    <dataValidation type="list" allowBlank="1" sqref="D44">
      <formula1>"1,2,3,4"</formula1>
      <formula2>0</formula2>
    </dataValidation>
    <dataValidation type="decimal" allowBlank="1" sqref="D46 D48 D51">
      <formula1>0</formula1>
      <formula2>7</formula2>
    </dataValidation>
    <dataValidation type="decimal" allowBlank="1" sqref="D47">
      <formula1>0</formula1>
      <formula2>300</formula2>
    </dataValidation>
    <dataValidation type="decimal" allowBlank="1" sqref="D49">
      <formula1>0</formula1>
      <formula2>18</formula2>
    </dataValidation>
    <dataValidation type="list" allowBlank="1" sqref="D50">
      <formula1>"1,2,3,4"</formula1>
      <formula2>0</formula2>
    </dataValidation>
    <dataValidation type="decimal" allowBlank="1" sqref="D53">
      <formula1>16</formula1>
      <formula2>26</formula2>
    </dataValidation>
    <dataValidation type="decimal" allowBlank="1" sqref="D54">
      <formula1>0</formula1>
      <formula2>120</formula2>
    </dataValidation>
    <dataValidation type="decimal" allowBlank="1" sqref="D55">
      <formula1>3</formula1>
      <formula2>12</formula2>
    </dataValidation>
    <dataValidation type="decimal" allowBlank="1" sqref="D56">
      <formula1>0</formula1>
      <formula2>12</formula2>
    </dataValidation>
    <dataValidation type="list" allowBlank="1" sqref="D58">
      <formula1>"0,1,2,3"</formula1>
      <formula2>0</formula2>
    </dataValidation>
    <dataValidation type="list" allowBlank="1" sqref="D59">
      <formula1>"0,1,2,3"</formula1>
      <formula2>0</formula2>
    </dataValidation>
    <dataValidation type="list" allowBlank="1" sqref="D61">
      <formula1>"0,1,2"</formula1>
      <formula2>0</formula2>
    </dataValidation>
    <dataValidation type="list" allowBlank="1" sqref="D62">
      <formula1>"0,1,2,3"</formula1>
      <formula2>0</formula2>
    </dataValidation>
    <dataValidation type="list" allowBlank="1" sqref="D63">
      <formula1>"0,1,2,3"</formula1>
      <formula2>0</formula2>
    </dataValidation>
    <dataValidation type="list" allowBlank="1" sqref="D64">
      <formula1>"0,1,2"</formula1>
      <formula2>0</formula2>
    </dataValidation>
    <dataValidation type="list" allowBlank="1" sqref="D65">
      <formula1>"0,1,2"</formula1>
      <formula2>0</formula2>
    </dataValidation>
    <dataValidation type="list" allowBlank="1" sqref="D67">
      <formula1>"0,1,2,3,4"</formula1>
      <formula2>0</formula2>
    </dataValidation>
    <dataValidation type="list" allowBlank="1" sqref="D68">
      <formula1>"0,1,2,3,4"</formula1>
      <formula2>0</formula2>
    </dataValidation>
    <dataValidation type="list" allowBlank="1" sqref="D69">
      <formula1>"0,1,2,3,4"</formula1>
      <formula2>0</formula2>
    </dataValidation>
    <dataValidation type="list" allowBlank="1" sqref="D71">
      <formula1>"0,1"</formula1>
      <formula2>0</formula2>
    </dataValidation>
    <dataValidation type="list" allowBlank="1" sqref="D72">
      <formula1>"0,1,2,3,4"</formula1>
      <formula2>0</formula2>
    </dataValidation>
    <dataValidation type="list" allowBlank="1" sqref="D74">
      <formula1>"0,1,2,3,4"</formula1>
      <formula2>0</formula2>
    </dataValidation>
    <dataValidation type="list" allowBlank="1" sqref="D75">
      <formula1>"0,1,2,3,4"</formula1>
      <formula2>0</formula2>
    </dataValidation>
    <dataValidation type="list" allowBlank="1" sqref="D76">
      <formula1>"0,1,2,3,4"</formula1>
      <formula2>0</formula2>
    </dataValidation>
    <dataValidation type="list" allowBlank="1" sqref="D77">
      <formula1>"0,1,2,3,4"</formula1>
      <formula2>0</formula2>
    </dataValidation>
    <dataValidation type="list" allowBlank="1" sqref="D78">
      <formula1>"0,1,2,3,4"</formula1>
      <formula2>0</formula2>
    </dataValidation>
    <dataValidation type="list" allowBlank="1" sqref="D80">
      <formula1>"0,1,2,3"</formula1>
      <formula2>0</formula2>
    </dataValidation>
    <dataValidation type="list" allowBlank="1" sqref="D81">
      <formula1>"0,1,2,3"</formula1>
      <formula2>0</formula2>
    </dataValidation>
    <dataValidation type="list" allowBlank="1" sqref="D82">
      <formula1>"0,1,2,3"</formula1>
      <formula2>0</formula2>
    </dataValidation>
    <dataValidation type="list" allowBlank="1" sqref="D83">
      <formula1>"0,1,2,3"</formula1>
      <formula2>0</formula2>
    </dataValidation>
    <dataValidation type="list" allowBlank="1" sqref="D85">
      <formula1>"1,2,3,4"</formula1>
      <formula2>0</formula2>
    </dataValidation>
    <dataValidation type="list" allowBlank="1" sqref="D86">
      <formula1>"1,2,3,4,5"</formula1>
      <formula2>0</formula2>
    </dataValidation>
    <dataValidation type="list" allowBlank="1" sqref="D87">
      <formula1>"1,2,3,4,5"</formula1>
      <formula2>0</formula2>
    </dataValidation>
    <dataValidation type="list" allowBlank="1" sqref="D89">
      <formula1>"0,1"</formula1>
      <formula2>0</formula2>
    </dataValidation>
    <dataValidation type="list" allowBlank="1" sqref="D90">
      <formula1>"0,1"</formula1>
      <formula2>0</formula2>
    </dataValidation>
    <dataValidation type="list" allowBlank="1" sqref="D91">
      <formula1>"0,1"</formula1>
      <formula2>0</formula2>
    </dataValidation>
    <dataValidation type="list" allowBlank="1" sqref="D92">
      <formula1>"0,1"</formula1>
      <formula2>0</formula2>
    </dataValidation>
    <dataValidation type="list" allowBlank="1" sqref="D94">
      <formula1>"1,2,3,4,5"</formula1>
      <formula2>0</formula2>
    </dataValidation>
    <dataValidation type="list" allowBlank="1" sqref="D95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topLeftCell="A7" zoomScaleNormal="100" workbookViewId="0">
      <selection activeCell="F4" sqref="F4"/>
    </sheetView>
  </sheetViews>
  <sheetFormatPr defaultColWidth="8.7109375" defaultRowHeight="15" x14ac:dyDescent="0.25"/>
  <cols>
    <col min="1" max="1" width="6" style="9" customWidth="1"/>
    <col min="2" max="2" width="28" style="9" customWidth="1"/>
    <col min="3" max="4" width="18" style="9" customWidth="1"/>
    <col min="5" max="5" width="22" style="9" customWidth="1"/>
    <col min="6" max="6" width="24" style="9" customWidth="1"/>
    <col min="7" max="7" width="14" style="9" customWidth="1"/>
  </cols>
  <sheetData>
    <row r="1" spans="1:7" ht="17.25" customHeight="1" x14ac:dyDescent="0.25">
      <c r="A1" s="5" t="s">
        <v>227</v>
      </c>
      <c r="B1" s="5"/>
      <c r="C1" s="5"/>
      <c r="D1" s="5"/>
      <c r="E1" s="5"/>
      <c r="F1" s="5"/>
      <c r="G1" s="5"/>
    </row>
    <row r="2" spans="1:7" ht="15" customHeight="1" x14ac:dyDescent="0.25">
      <c r="A2" s="4" t="s">
        <v>228</v>
      </c>
      <c r="B2" s="4"/>
      <c r="C2" s="4"/>
      <c r="D2" s="4"/>
      <c r="E2" s="4"/>
      <c r="F2" s="4"/>
      <c r="G2" s="4"/>
    </row>
    <row r="3" spans="1:7" ht="31.5" customHeight="1" x14ac:dyDescent="0.25">
      <c r="A3" s="25" t="s">
        <v>229</v>
      </c>
      <c r="B3" s="25" t="s">
        <v>230</v>
      </c>
      <c r="C3" s="25" t="s">
        <v>231</v>
      </c>
      <c r="D3" s="25" t="s">
        <v>232</v>
      </c>
      <c r="E3" s="25" t="s">
        <v>233</v>
      </c>
      <c r="F3" s="25" t="s">
        <v>234</v>
      </c>
      <c r="G3" s="25" t="s">
        <v>235</v>
      </c>
    </row>
    <row r="4" spans="1:7" ht="31.5" customHeight="1" x14ac:dyDescent="0.25">
      <c r="A4" s="20" t="s">
        <v>236</v>
      </c>
      <c r="B4" s="21" t="s">
        <v>237</v>
      </c>
      <c r="C4" s="26">
        <f>'קלט שאלון'!D13+'קלט שאלון'!D14+'קלט שאלון'!D15+'קלט שאלון'!D16+'קלט שאלון'!D17+'קלט שאלון'!D18</f>
        <v>0</v>
      </c>
      <c r="D4" s="27">
        <f>IF(ISNUMBER(C4),ROUND(C4/6*100,0),"")</f>
        <v>0</v>
      </c>
      <c r="E4" s="28" t="str">
        <f>IF(ISNUMBER(C4),IF(C4&gt;=3,"מספר גורמי סיכון גבוה",IF(C4&gt;=1,"גורם סיכון אחד לפחות","תקין")),"–")</f>
        <v>תקין</v>
      </c>
      <c r="F4" s="29" t="str">
        <f>IF(ISNUMBER(C4),IF(C4&gt;=3,"🔴 דחיפות גבוהה",IF(C4&gt;=1,"🟡 בינונית","🟢 תקין")),"–")</f>
        <v>🟢 תקין</v>
      </c>
      <c r="G4" s="30" t="s">
        <v>238</v>
      </c>
    </row>
    <row r="5" spans="1:7" ht="31.5" customHeight="1" x14ac:dyDescent="0.25">
      <c r="A5" s="20" t="s">
        <v>239</v>
      </c>
      <c r="B5" s="21" t="s">
        <v>240</v>
      </c>
      <c r="C5" s="26">
        <f>IF(ISNUMBER('קלט שאלון'!D20),IF('קלט שאלון'!D20=1,1,0),0)+IF(ISNUMBER('קלט שאלון'!D21),IF('קלט שאלון'!D21&gt;=2,1,0),0)+IF(ISNUMBER('קלט שאלון'!D22),IF('קלט שאלון'!D22&gt;=3,1,0),0)+IF(ISNUMBER('קלט שאלון'!D23),IF('קלט שאלון'!D23&gt;=3,1,0),0)+IF(ISNUMBER('קלט שאלון'!D24),IF('קלט שאלון'!D24&gt;=3,1,0),0)+IF(ISNUMBER('קלט שאלון'!D25),IF('קלט שאלון'!D25&gt;=3,1,0),0)+IF(ISNUMBER('קלט שאלון'!D26),IF('קלט שאלון'!D26&gt;=2,1,0),0)+IF(ISNUMBER('קלט שאלון'!D27),IF('קלט שאלון'!D27&gt;=2,1,0),0)+IF(ISNUMBER('קלט שאלון'!D28),IF('קלט שאלון'!D28&gt;=2,1,0),0)+IF(ISNUMBER('קלט שאלון'!D29),IF('קלט שאלון'!D29&lt;=7,1,0),0)+IF(ISNUMBER('קלט שאלון'!D30),IF('קלט שאלון'!D30&lt;=1,1,0),0)+IF(ISNUMBER('קלט שאלון'!D31),IF('קלט שאלון'!D31&lt;=1,1,0),0)+IF(ISNUMBER('קלט שאלון'!D32),IF('קלט שאלון'!D32&lt;=7,1,0),0)+IF(ISNUMBER('קלט שאלון'!D33),IF('קלט שאלון'!D33&lt;=2,1,0),0)+IF(ISNUMBER('קלט שאלון'!D34),IF('קלט שאלון'!D34&lt;=2,1,0),0)+IF(ISNUMBER('קלט שאלון'!D35),IF('קלט שאלון'!D35&lt;=3,1,0),0)+IF(ISNUMBER('קלט שאלון'!D36),IF('קלט שאלון'!D36&lt;=2,1,0),0)</f>
        <v>0</v>
      </c>
      <c r="D5" s="27">
        <f>IF(ISNUMBER(C5),ROUND(C5/17*100,0),"")</f>
        <v>0</v>
      </c>
      <c r="E5" s="28" t="str">
        <f>IF(ISNUMBER(C5),IF(C5&gt;=14,"מצוינת",IF(C5&gt;=10,"טובה",IF(C5&gt;=6,"בינונית","לא ים-תיכונית"))),"–")</f>
        <v>לא ים-תיכונית</v>
      </c>
      <c r="F5" s="29" t="str">
        <f>IF(ISNUMBER(C5),IF(C5&lt;=5,"🔴 דחיפות גבוהה",IF(C5&lt;=9,"🟠 בינונית-גבוהה",IF(C5&lt;=13,"🟡 בינונית","🟢 תקין"))),"–")</f>
        <v>🔴 דחיפות גבוהה</v>
      </c>
      <c r="G5" s="30" t="s">
        <v>241</v>
      </c>
    </row>
    <row r="6" spans="1:7" ht="31.5" customHeight="1" x14ac:dyDescent="0.25">
      <c r="A6" s="20" t="s">
        <v>242</v>
      </c>
      <c r="B6" s="21" t="s">
        <v>243</v>
      </c>
      <c r="C6" s="26" t="str">
        <f>IF(ISNUMBER('קלט שאלון'!D40),ROUND(('קלט שאלון'!D40+(5-'קלט שאלון'!D44))/8*100,0),"")</f>
        <v/>
      </c>
      <c r="D6" s="27" t="str">
        <f>C6</f>
        <v/>
      </c>
      <c r="E6" s="28" t="str">
        <f>IF(ISNUMBER(C6),IF(C6&gt;=75,"גבוהה מאד",IF(C6&gt;=50,"גבוהה",IF(C6&gt;=25,"בינונית","נמוכה"))),"–")</f>
        <v>–</v>
      </c>
      <c r="F6" s="29" t="str">
        <f>IF(ISNUMBER(C6),IF(C6&gt;=50,"🔴 דחיפות גבוהה",IF(C6&gt;=25,"🟡 בינונית","🟢 תקין")),"–")</f>
        <v>–</v>
      </c>
      <c r="G6" s="30" t="s">
        <v>244</v>
      </c>
    </row>
    <row r="7" spans="1:7" ht="31.5" customHeight="1" x14ac:dyDescent="0.25">
      <c r="A7" s="20" t="s">
        <v>245</v>
      </c>
      <c r="B7" s="21" t="s">
        <v>246</v>
      </c>
      <c r="C7" s="26" t="str">
        <f>IF(ISNUMBER('קלט שאלון'!D41),ROUND(('קלט שאלון'!D41+'קלט שאלון'!D43)/8*100,0),"")</f>
        <v/>
      </c>
      <c r="D7" s="27" t="str">
        <f>C7</f>
        <v/>
      </c>
      <c r="E7" s="28" t="str">
        <f>IF(ISNUMBER(C7),IF(C7&gt;=75,"גבוהה מאד",IF(C7&gt;=50,"גבוהה",IF(C7&gt;=25,"בינונית","נמוכה"))),"–")</f>
        <v>–</v>
      </c>
      <c r="F7" s="29" t="str">
        <f>IF(ISNUMBER(C7),IF(C7&gt;=50,"🔴 דחיפות גבוהה",IF(C7&gt;=25,"🟡 בינונית","🟢 תקין")),"–")</f>
        <v>–</v>
      </c>
      <c r="G7" s="30" t="s">
        <v>244</v>
      </c>
    </row>
    <row r="8" spans="1:7" ht="31.5" customHeight="1" x14ac:dyDescent="0.25">
      <c r="A8" s="20" t="s">
        <v>247</v>
      </c>
      <c r="B8" s="21" t="s">
        <v>248</v>
      </c>
      <c r="C8" s="26" t="str">
        <f>IF(ISNUMBER('קלט שאלון'!D46),ROUND('קלט שאלון'!D46*'קלט שאלון'!D47*4,0),"")</f>
        <v/>
      </c>
      <c r="D8" s="27" t="str">
        <f>IF(ISNUMBER(C8),ROUND(MIN(C8/3000*100,100),0),"")</f>
        <v/>
      </c>
      <c r="E8" s="28" t="str">
        <f>IF(ISNUMBER(C8),IF(C8&gt;=3000,"גבוה",IF(C8&gt;=600,"בינוני","נמוך – Inactive")),"–")</f>
        <v>–</v>
      </c>
      <c r="F8" s="29" t="str">
        <f>IF(ISNUMBER(C8),IF(C8&lt;600,"🔴 דחיפות גבוהה",IF(C8&lt;3000,"🟡 בינונית","🟢 תקין")),"–")</f>
        <v>–</v>
      </c>
      <c r="G8" s="30" t="s">
        <v>249</v>
      </c>
    </row>
    <row r="9" spans="1:7" ht="31.5" customHeight="1" x14ac:dyDescent="0.25">
      <c r="A9" s="20" t="s">
        <v>250</v>
      </c>
      <c r="B9" s="21" t="s">
        <v>251</v>
      </c>
      <c r="C9" s="26">
        <f>'קלט שאלון'!D49</f>
        <v>0</v>
      </c>
      <c r="D9" s="27">
        <f>IF(ISNUMBER(C9),ROUND(MAX(0,(C9-4)/14*100),0),"")</f>
        <v>0</v>
      </c>
      <c r="E9" s="28" t="str">
        <f>IF(ISNUMBER(C9),IF(C9&gt;10,"גבוה מאד",IF(C9&gt;8,"גבוה",IF(C9&gt;6,"בינוני","תקין"))),"–")</f>
        <v>תקין</v>
      </c>
      <c r="F9" s="29" t="str">
        <f>IF(ISNUMBER(C9),IF(C9&gt;8,"🟠 בינונית-גבוהה",IF(C9&gt;6,"🟡 בינונית","🟢 תקין")),"–")</f>
        <v>🟢 תקין</v>
      </c>
      <c r="G9" s="30" t="s">
        <v>252</v>
      </c>
    </row>
    <row r="10" spans="1:7" ht="31.5" customHeight="1" x14ac:dyDescent="0.25">
      <c r="A10" s="20" t="s">
        <v>253</v>
      </c>
      <c r="B10" s="21" t="s">
        <v>254</v>
      </c>
      <c r="C10" s="26" t="str">
        <f>IF(ISNUMBER('קלט שאלון'!D56),IF(ISNUMBER('קלט שאלון'!D54),IF('קלט שאלון'!D54&lt;=15,0,IF('קלט שאלון'!D54&lt;=30,1,IF('קלט שאלון'!D54&lt;=60,2,3))),0)+IF(ISNUMBER('קלט שאלון'!D56),IF('קלט שאלון'!D56&gt;7,0,IF('קלט שאלון'!D56&gt;=6,1,IF('קלט שאלון'!D56&gt;=5,2,3))),0)+'קלט שאלון'!D58,"")</f>
        <v/>
      </c>
      <c r="D10" s="27" t="str">
        <f>IF(ISNUMBER(C10),ROUND(C10/9*100,0),"")</f>
        <v/>
      </c>
      <c r="E10" s="28" t="str">
        <f>IF(ISNUMBER(C10),IF(C10&gt;=7,"הפרעת שינה חמורה",IF(C10&gt;=5,"הפרעת שינה בינונית","שינה תקינה")),"–")</f>
        <v>–</v>
      </c>
      <c r="F10" s="29" t="str">
        <f>IF(ISNUMBER(C10),IF(C10&gt;=7,"🔴 דחיפות גבוהה",IF(C10&gt;=5,"🟠 בינונית-גבוהה","🟢 תקין")),"–")</f>
        <v>–</v>
      </c>
      <c r="G10" s="30" t="s">
        <v>255</v>
      </c>
    </row>
    <row r="11" spans="1:7" ht="31.5" customHeight="1" x14ac:dyDescent="0.25">
      <c r="A11" s="20" t="s">
        <v>256</v>
      </c>
      <c r="B11" s="21" t="s">
        <v>257</v>
      </c>
      <c r="C11" s="26">
        <f>IF('קלט שאלון'!D61=2,'קלט שאלון'!D62+'קלט שאלון'!D63,0)</f>
        <v>0</v>
      </c>
      <c r="D11" s="27">
        <f>IF(ISNUMBER(C11),IF('קלט שאלון'!D61=2,ROUND(C11/6*100,0),0),"")</f>
        <v>0</v>
      </c>
      <c r="E11" s="28" t="str">
        <f>IF('קלט שאלון'!D61=2,IF(C11&gt;=6,"תלות גבוהה",IF(C11&gt;=5,"תלות בינונית",IF(C11&gt;=3,"תלות נמוכה","תלות נמוכה מאד"))),"אינו מעשן/ת")</f>
        <v>אינו מעשן/ת</v>
      </c>
      <c r="F11" s="29" t="str">
        <f>IF('קלט שאלון'!D61=2,IF(C11&gt;=6,"🔴 דחיפות גבוהה",IF(C11&gt;=3,"🟠 בינונית-גבוהה","🟡 בינונית")),"🟢 תקין")</f>
        <v>🟢 תקין</v>
      </c>
      <c r="G11" s="30" t="s">
        <v>258</v>
      </c>
    </row>
    <row r="12" spans="1:7" ht="31.5" customHeight="1" x14ac:dyDescent="0.25">
      <c r="A12" s="20" t="s">
        <v>259</v>
      </c>
      <c r="B12" s="21" t="s">
        <v>260</v>
      </c>
      <c r="C12" s="26" t="str">
        <f>IF(ISNUMBER('קלט שאלון'!D67),'קלט שאלון'!D67+'קלט שאלון'!D68+'קלט שאלון'!D69,"")</f>
        <v/>
      </c>
      <c r="D12" s="27" t="str">
        <f>IF(ISNUMBER(C12),ROUND(C12/12*100,0),"")</f>
        <v/>
      </c>
      <c r="E12" s="28" t="str">
        <f>IF(ISNUMBER(C12),IF(C12&gt;=8,"שתייה מסוכנת",IF(C12&gt;=4,"שתייה מסוכנת (גברים) / בסיכון (נשים)","תקין")),"–")</f>
        <v>–</v>
      </c>
      <c r="F12" s="29" t="str">
        <f>IF(ISNUMBER(C12),IF(C12&gt;=4,"🔴 דחיפות גבוהה",IF(C12&gt;=3,"🟠 בינונית-גבוהה","🟢 תקין")),"–")</f>
        <v>–</v>
      </c>
      <c r="G12" s="30" t="s">
        <v>261</v>
      </c>
    </row>
    <row r="13" spans="1:7" ht="31.5" customHeight="1" x14ac:dyDescent="0.25">
      <c r="A13" s="20" t="s">
        <v>262</v>
      </c>
      <c r="B13" s="21" t="s">
        <v>263</v>
      </c>
      <c r="C13" s="26" t="str">
        <f>IF(ISNUMBER('קלט שאלון'!D74),'קלט שאלון'!D74+(4-'קלט שאלון'!D75)+'קלט שאלון'!D76+(4-'קלט שאלון'!D77)+'קלט שאלון'!D78,"")</f>
        <v/>
      </c>
      <c r="D13" s="27" t="str">
        <f>IF(ISNUMBER(C13),ROUND(C13/20*100,0),"")</f>
        <v/>
      </c>
      <c r="E13" s="28" t="str">
        <f>IF(ISNUMBER(C13),IF(C13&gt;=12,"סטרס גבוה",IF(C13&gt;=8,"סטרס בינוני","סטרס נמוך")),"–")</f>
        <v>–</v>
      </c>
      <c r="F13" s="29" t="str">
        <f>IF(ISNUMBER(C13),IF(C13&gt;=12,"🔴 דחיפות גבוהה",IF(C13&gt;=8,"🟡 בינונית","🟢 תקין")),"–")</f>
        <v>–</v>
      </c>
      <c r="G13" s="30" t="s">
        <v>264</v>
      </c>
    </row>
    <row r="14" spans="1:7" ht="31.5" customHeight="1" x14ac:dyDescent="0.25">
      <c r="A14" s="20" t="s">
        <v>265</v>
      </c>
      <c r="B14" s="21" t="s">
        <v>266</v>
      </c>
      <c r="C14" s="26" t="str">
        <f>IF(ISNUMBER('קלט שאלון'!D80),'קלט שאלון'!D80+'קלט שאלון'!D81+'קלט שאלון'!D82+'קלט שאלון'!D83,"")</f>
        <v/>
      </c>
      <c r="D14" s="27" t="str">
        <f>IF(ISNUMBER(C14),ROUND(C14/12*100,0),"")</f>
        <v/>
      </c>
      <c r="E14" s="28" t="str">
        <f>IF(ISNUMBER(C14),IF(C14&gt;=9,"חמור",IF(C14&gt;=6,"בינוני",IF(C14&gt;=3,"קל","תקין"))),"–")</f>
        <v>–</v>
      </c>
      <c r="F14" s="29" t="str">
        <f>IF(ISNUMBER(C14),IF(C14&gt;=6,"🔴 דחיפות גבוהה – הפנייה",IF(C14&gt;=3,"🟠 בינונית-גבוהה","🟢 תקין")),"–")</f>
        <v>–</v>
      </c>
      <c r="G14" s="30" t="s">
        <v>267</v>
      </c>
    </row>
    <row r="15" spans="1:7" ht="31.5" customHeight="1" x14ac:dyDescent="0.25">
      <c r="A15" s="20" t="s">
        <v>268</v>
      </c>
      <c r="B15" s="21" t="s">
        <v>269</v>
      </c>
      <c r="C15" s="26" t="str">
        <f>IF(ISNUMBER('קלט שאלון'!D85),ROUND(((6-'קלט שאלון'!D85)+('קלט שאלון'!D86-1)+('קלט שאלון'!D87-1))/(3+8)*100,0),"")</f>
        <v/>
      </c>
      <c r="D15" s="27" t="str">
        <f>C15</f>
        <v/>
      </c>
      <c r="E15" s="28" t="str">
        <f>IF(ISNUMBER(C15),IF(C15&gt;=67,"תמיכה טובה",IF(C15&gt;=34,"תמיכה בינונית","בידוד חברתי")),"–")</f>
        <v>–</v>
      </c>
      <c r="F15" s="29" t="str">
        <f>IF(ISNUMBER(C15),IF(C15&lt;34,"🟠 בינונית-גבוהה",IF(C15&lt;67,"🟡 בינונית","🟢 תקין")),"–")</f>
        <v>–</v>
      </c>
      <c r="G15" s="30" t="s">
        <v>270</v>
      </c>
    </row>
    <row r="16" spans="1:7" ht="31.5" customHeight="1" x14ac:dyDescent="0.25">
      <c r="A16" s="20" t="s">
        <v>271</v>
      </c>
      <c r="B16" s="21" t="s">
        <v>272</v>
      </c>
      <c r="C16" s="26" t="str">
        <f>IF(ISNUMBER('קלט שאלון'!D89),'קלט שאלון'!D89+'קלט שאלון'!D90+'קלט שאלון'!D91+'קלט שאלון'!D92,"")</f>
        <v/>
      </c>
      <c r="D16" s="27" t="str">
        <f>IF(ISNUMBER(C16),IF(C16&gt;0,100,0),"")</f>
        <v/>
      </c>
      <c r="E16" s="28" t="str">
        <f>IF(ISNUMBER(C16),IF(C16&gt;0,"דגל אדום – נדרשת התייחסות מיידית","ללא אינדיקציה"),"–")</f>
        <v>–</v>
      </c>
      <c r="F16" s="29" t="str">
        <f>IF(ISNUMBER(C16),IF(C16&gt;0,"🚨 חירום מיידי","🟢 ללא ממצא"),"–")</f>
        <v>–</v>
      </c>
      <c r="G16" s="30" t="s">
        <v>273</v>
      </c>
    </row>
    <row r="17" spans="1:7" ht="31.5" customHeight="1" x14ac:dyDescent="0.25">
      <c r="A17" s="20" t="s">
        <v>274</v>
      </c>
      <c r="B17" s="21" t="s">
        <v>275</v>
      </c>
      <c r="C17" s="26">
        <f>'קלט שאלון'!D94</f>
        <v>0</v>
      </c>
      <c r="D17" s="27">
        <f>IF(ISNUMBER(C17),ROUND((C17-1)/4*100,0),"")</f>
        <v>-25</v>
      </c>
      <c r="E17" s="28" t="str">
        <f>IF(ISNUMBER('קלט שאלון'!D95),CHOOSE('קלט שאלון'!D95,"טרום-מחשבה","מחשבה","הכנה","פעולה (כשל קודם)","פעולה פעילה"),"–")</f>
        <v>–</v>
      </c>
      <c r="F17" s="29" t="str">
        <f>IF(ISNUMBER('קלט שאלון'!D94),IF('קלט שאלון'!D94&lt;=2,"🟠 מוטיבציה נמוכה",IF('קלט שאלון'!D94&lt;=3,"🟡 בינונית","🟢 מוטיבציה גבוהה")),"–")</f>
        <v>–</v>
      </c>
      <c r="G17" s="30" t="s">
        <v>276</v>
      </c>
    </row>
  </sheetData>
  <mergeCells count="2">
    <mergeCell ref="A1:G1"/>
    <mergeCell ref="A2:G2"/>
  </mergeCells>
  <conditionalFormatting sqref="F4">
    <cfRule type="expression" dxfId="139" priority="2">
      <formula>ISNUMBER(SEARCH("חירום",$F4))</formula>
    </cfRule>
    <cfRule type="expression" dxfId="138" priority="3">
      <formula>ISNUMBER(SEARCH("גבוהה",$F4))</formula>
    </cfRule>
    <cfRule type="expression" dxfId="137" priority="4">
      <formula>ISNUMBER(SEARCH("בינונית-גבוהה",$F4))</formula>
    </cfRule>
    <cfRule type="expression" dxfId="136" priority="5">
      <formula>ISNUMBER(SEARCH("בינונית",$F4))</formula>
    </cfRule>
    <cfRule type="expression" dxfId="135" priority="6">
      <formula>ISNUMBER(SEARCH("תקין",$F4))</formula>
    </cfRule>
  </conditionalFormatting>
  <conditionalFormatting sqref="F5">
    <cfRule type="expression" dxfId="134" priority="7">
      <formula>ISNUMBER(SEARCH("חירום",$F5))</formula>
    </cfRule>
    <cfRule type="expression" dxfId="133" priority="8">
      <formula>ISNUMBER(SEARCH("גבוהה",$F5))</formula>
    </cfRule>
    <cfRule type="expression" dxfId="132" priority="9">
      <formula>ISNUMBER(SEARCH("בינונית-גבוהה",$F5))</formula>
    </cfRule>
    <cfRule type="expression" dxfId="131" priority="10">
      <formula>ISNUMBER(SEARCH("בינונית",$F5))</formula>
    </cfRule>
    <cfRule type="expression" dxfId="130" priority="11">
      <formula>ISNUMBER(SEARCH("תקין",$F5))</formula>
    </cfRule>
  </conditionalFormatting>
  <conditionalFormatting sqref="F6">
    <cfRule type="expression" dxfId="129" priority="12">
      <formula>ISNUMBER(SEARCH("חירום",$F6))</formula>
    </cfRule>
    <cfRule type="expression" dxfId="128" priority="13">
      <formula>ISNUMBER(SEARCH("גבוהה",$F6))</formula>
    </cfRule>
    <cfRule type="expression" dxfId="127" priority="14">
      <formula>ISNUMBER(SEARCH("בינונית-גבוהה",$F6))</formula>
    </cfRule>
    <cfRule type="expression" dxfId="126" priority="15">
      <formula>ISNUMBER(SEARCH("בינונית",$F6))</formula>
    </cfRule>
    <cfRule type="expression" dxfId="125" priority="16">
      <formula>ISNUMBER(SEARCH("תקין",$F6))</formula>
    </cfRule>
  </conditionalFormatting>
  <conditionalFormatting sqref="F7">
    <cfRule type="expression" dxfId="124" priority="17">
      <formula>ISNUMBER(SEARCH("חירום",$F7))</formula>
    </cfRule>
    <cfRule type="expression" dxfId="123" priority="18">
      <formula>ISNUMBER(SEARCH("גבוהה",$F7))</formula>
    </cfRule>
    <cfRule type="expression" dxfId="122" priority="19">
      <formula>ISNUMBER(SEARCH("בינונית-גבוהה",$F7))</formula>
    </cfRule>
    <cfRule type="expression" dxfId="121" priority="20">
      <formula>ISNUMBER(SEARCH("בינונית",$F7))</formula>
    </cfRule>
    <cfRule type="expression" dxfId="120" priority="21">
      <formula>ISNUMBER(SEARCH("תקין",$F7))</formula>
    </cfRule>
  </conditionalFormatting>
  <conditionalFormatting sqref="F8">
    <cfRule type="expression" dxfId="119" priority="22">
      <formula>ISNUMBER(SEARCH("חירום",$F8))</formula>
    </cfRule>
    <cfRule type="expression" dxfId="118" priority="23">
      <formula>ISNUMBER(SEARCH("גבוהה",$F8))</formula>
    </cfRule>
    <cfRule type="expression" dxfId="117" priority="24">
      <formula>ISNUMBER(SEARCH("בינונית-גבוהה",$F8))</formula>
    </cfRule>
    <cfRule type="expression" dxfId="116" priority="25">
      <formula>ISNUMBER(SEARCH("בינונית",$F8))</formula>
    </cfRule>
    <cfRule type="expression" dxfId="115" priority="26">
      <formula>ISNUMBER(SEARCH("תקין",$F8))</formula>
    </cfRule>
  </conditionalFormatting>
  <conditionalFormatting sqref="F9">
    <cfRule type="expression" dxfId="114" priority="27">
      <formula>ISNUMBER(SEARCH("חירום",$F9))</formula>
    </cfRule>
    <cfRule type="expression" dxfId="113" priority="28">
      <formula>ISNUMBER(SEARCH("גבוהה",$F9))</formula>
    </cfRule>
    <cfRule type="expression" dxfId="112" priority="29">
      <formula>ISNUMBER(SEARCH("בינונית-גבוהה",$F9))</formula>
    </cfRule>
    <cfRule type="expression" dxfId="111" priority="30">
      <formula>ISNUMBER(SEARCH("בינונית",$F9))</formula>
    </cfRule>
    <cfRule type="expression" dxfId="110" priority="31">
      <formula>ISNUMBER(SEARCH("תקין",$F9))</formula>
    </cfRule>
  </conditionalFormatting>
  <conditionalFormatting sqref="F10">
    <cfRule type="expression" dxfId="109" priority="32">
      <formula>ISNUMBER(SEARCH("חירום",$F10))</formula>
    </cfRule>
    <cfRule type="expression" dxfId="108" priority="33">
      <formula>ISNUMBER(SEARCH("גבוהה",$F10))</formula>
    </cfRule>
    <cfRule type="expression" dxfId="107" priority="34">
      <formula>ISNUMBER(SEARCH("בינונית-גבוהה",$F10))</formula>
    </cfRule>
    <cfRule type="expression" dxfId="106" priority="35">
      <formula>ISNUMBER(SEARCH("בינונית",$F10))</formula>
    </cfRule>
    <cfRule type="expression" dxfId="105" priority="36">
      <formula>ISNUMBER(SEARCH("תקין",$F10))</formula>
    </cfRule>
  </conditionalFormatting>
  <conditionalFormatting sqref="F11">
    <cfRule type="expression" dxfId="104" priority="37">
      <formula>ISNUMBER(SEARCH("חירום",$F11))</formula>
    </cfRule>
    <cfRule type="expression" dxfId="103" priority="38">
      <formula>ISNUMBER(SEARCH("גבוהה",$F11))</formula>
    </cfRule>
    <cfRule type="expression" dxfId="102" priority="39">
      <formula>ISNUMBER(SEARCH("בינונית-גבוהה",$F11))</formula>
    </cfRule>
    <cfRule type="expression" dxfId="101" priority="40">
      <formula>ISNUMBER(SEARCH("בינונית",$F11))</formula>
    </cfRule>
    <cfRule type="expression" dxfId="100" priority="41">
      <formula>ISNUMBER(SEARCH("תקין",$F11))</formula>
    </cfRule>
  </conditionalFormatting>
  <conditionalFormatting sqref="F12">
    <cfRule type="expression" dxfId="99" priority="42">
      <formula>ISNUMBER(SEARCH("חירום",$F12))</formula>
    </cfRule>
    <cfRule type="expression" dxfId="98" priority="43">
      <formula>ISNUMBER(SEARCH("גבוהה",$F12))</formula>
    </cfRule>
    <cfRule type="expression" dxfId="97" priority="44">
      <formula>ISNUMBER(SEARCH("בינונית-גבוהה",$F12))</formula>
    </cfRule>
    <cfRule type="expression" dxfId="96" priority="45">
      <formula>ISNUMBER(SEARCH("בינונית",$F12))</formula>
    </cfRule>
    <cfRule type="expression" dxfId="95" priority="46">
      <formula>ISNUMBER(SEARCH("תקין",$F12))</formula>
    </cfRule>
  </conditionalFormatting>
  <conditionalFormatting sqref="F13">
    <cfRule type="expression" dxfId="94" priority="47">
      <formula>ISNUMBER(SEARCH("חירום",$F13))</formula>
    </cfRule>
    <cfRule type="expression" dxfId="93" priority="48">
      <formula>ISNUMBER(SEARCH("גבוהה",$F13))</formula>
    </cfRule>
    <cfRule type="expression" dxfId="92" priority="49">
      <formula>ISNUMBER(SEARCH("בינונית-גבוהה",$F13))</formula>
    </cfRule>
    <cfRule type="expression" dxfId="91" priority="50">
      <formula>ISNUMBER(SEARCH("בינונית",$F13))</formula>
    </cfRule>
    <cfRule type="expression" dxfId="90" priority="51">
      <formula>ISNUMBER(SEARCH("תקין",$F13))</formula>
    </cfRule>
  </conditionalFormatting>
  <conditionalFormatting sqref="F14">
    <cfRule type="expression" dxfId="89" priority="52">
      <formula>ISNUMBER(SEARCH("חירום",$F14))</formula>
    </cfRule>
    <cfRule type="expression" dxfId="88" priority="53">
      <formula>ISNUMBER(SEARCH("גבוהה",$F14))</formula>
    </cfRule>
    <cfRule type="expression" dxfId="87" priority="54">
      <formula>ISNUMBER(SEARCH("בינונית-גבוהה",$F14))</formula>
    </cfRule>
    <cfRule type="expression" dxfId="86" priority="55">
      <formula>ISNUMBER(SEARCH("בינונית",$F14))</formula>
    </cfRule>
    <cfRule type="expression" dxfId="85" priority="56">
      <formula>ISNUMBER(SEARCH("תקין",$F14))</formula>
    </cfRule>
  </conditionalFormatting>
  <conditionalFormatting sqref="F15">
    <cfRule type="expression" dxfId="84" priority="57">
      <formula>ISNUMBER(SEARCH("חירום",$F15))</formula>
    </cfRule>
    <cfRule type="expression" dxfId="83" priority="58">
      <formula>ISNUMBER(SEARCH("גבוהה",$F15))</formula>
    </cfRule>
    <cfRule type="expression" dxfId="82" priority="59">
      <formula>ISNUMBER(SEARCH("בינונית-גבוהה",$F15))</formula>
    </cfRule>
    <cfRule type="expression" dxfId="81" priority="60">
      <formula>ISNUMBER(SEARCH("בינונית",$F15))</formula>
    </cfRule>
    <cfRule type="expression" dxfId="80" priority="61">
      <formula>ISNUMBER(SEARCH("תקין",$F15))</formula>
    </cfRule>
  </conditionalFormatting>
  <conditionalFormatting sqref="F16">
    <cfRule type="expression" dxfId="79" priority="62">
      <formula>ISNUMBER(SEARCH("חירום",$F16))</formula>
    </cfRule>
    <cfRule type="expression" dxfId="78" priority="63">
      <formula>ISNUMBER(SEARCH("גבוהה",$F16))</formula>
    </cfRule>
    <cfRule type="expression" dxfId="77" priority="64">
      <formula>ISNUMBER(SEARCH("בינונית-גבוהה",$F16))</formula>
    </cfRule>
    <cfRule type="expression" dxfId="76" priority="65">
      <formula>ISNUMBER(SEARCH("בינונית",$F16))</formula>
    </cfRule>
    <cfRule type="expression" dxfId="75" priority="66">
      <formula>ISNUMBER(SEARCH("תקין",$F16))</formula>
    </cfRule>
  </conditionalFormatting>
  <conditionalFormatting sqref="F17">
    <cfRule type="expression" dxfId="74" priority="67">
      <formula>ISNUMBER(SEARCH("חירום",$F17))</formula>
    </cfRule>
    <cfRule type="expression" dxfId="73" priority="68">
      <formula>ISNUMBER(SEARCH("גבוהה",$F17))</formula>
    </cfRule>
    <cfRule type="expression" dxfId="72" priority="69">
      <formula>ISNUMBER(SEARCH("בינונית-גבוהה",$F17))</formula>
    </cfRule>
    <cfRule type="expression" dxfId="71" priority="70">
      <formula>ISNUMBER(SEARCH("בינונית",$F17))</formula>
    </cfRule>
    <cfRule type="expression" dxfId="70" priority="71">
      <formula>ISNUMBER(SEARCH("תקין",$F17))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rightToLeft="1" topLeftCell="A21" zoomScaleNormal="100" workbookViewId="0">
      <selection activeCell="A12" sqref="A12:A27"/>
    </sheetView>
  </sheetViews>
  <sheetFormatPr defaultColWidth="8.7109375" defaultRowHeight="15" x14ac:dyDescent="0.25"/>
  <cols>
    <col min="1" max="1" width="5" style="9" customWidth="1"/>
    <col min="2" max="2" width="30" style="9" customWidth="1"/>
    <col min="3" max="3" width="20" style="9" customWidth="1"/>
    <col min="4" max="4" width="28" style="9" customWidth="1"/>
    <col min="5" max="5" width="30" style="9" customWidth="1"/>
  </cols>
  <sheetData>
    <row r="1" spans="1:5" ht="17.25" customHeight="1" x14ac:dyDescent="0.25">
      <c r="A1" s="5" t="s">
        <v>277</v>
      </c>
      <c r="B1" s="5"/>
      <c r="C1" s="5"/>
      <c r="D1" s="5"/>
      <c r="E1" s="5"/>
    </row>
    <row r="2" spans="1:5" ht="15" customHeight="1" x14ac:dyDescent="0.25">
      <c r="A2" s="4" t="s">
        <v>278</v>
      </c>
      <c r="B2" s="4"/>
      <c r="C2" s="4"/>
      <c r="D2" s="4"/>
      <c r="E2" s="4"/>
    </row>
    <row r="3" spans="1:5" ht="15" customHeight="1" x14ac:dyDescent="0.25">
      <c r="A3" s="4" t="s">
        <v>26</v>
      </c>
      <c r="B3" s="4"/>
      <c r="C3" s="4"/>
      <c r="D3" s="4"/>
      <c r="E3" s="4"/>
    </row>
    <row r="4" spans="1:5" ht="21.75" customHeight="1" x14ac:dyDescent="0.25">
      <c r="B4" s="18" t="s">
        <v>279</v>
      </c>
      <c r="C4" s="31">
        <f>'קלט שאלון'!C5</f>
        <v>0</v>
      </c>
    </row>
    <row r="5" spans="1:5" ht="21.75" customHeight="1" x14ac:dyDescent="0.25">
      <c r="B5" s="18" t="s">
        <v>28</v>
      </c>
      <c r="C5" s="31">
        <f>'קלט שאלון'!C6</f>
        <v>0</v>
      </c>
    </row>
    <row r="6" spans="1:5" ht="21.75" customHeight="1" x14ac:dyDescent="0.25">
      <c r="B6" s="18" t="s">
        <v>29</v>
      </c>
      <c r="C6" s="31">
        <f>'קלט שאלון'!C7</f>
        <v>0</v>
      </c>
    </row>
    <row r="7" spans="1:5" ht="21.75" customHeight="1" x14ac:dyDescent="0.25">
      <c r="B7" s="18" t="s">
        <v>280</v>
      </c>
      <c r="C7" s="31">
        <f>'קלט שאלון'!C8</f>
        <v>0</v>
      </c>
    </row>
    <row r="8" spans="1:5" ht="21.75" customHeight="1" x14ac:dyDescent="0.25">
      <c r="B8" s="18" t="s">
        <v>281</v>
      </c>
      <c r="C8" s="31">
        <f>'קלט שאלון'!C9</f>
        <v>0</v>
      </c>
    </row>
    <row r="10" spans="1:5" ht="15" customHeight="1" x14ac:dyDescent="0.25">
      <c r="A10" s="3" t="s">
        <v>282</v>
      </c>
      <c r="B10" s="3"/>
      <c r="C10" s="3"/>
      <c r="D10" s="3"/>
      <c r="E10" s="3"/>
    </row>
    <row r="11" spans="1:5" ht="27.75" customHeight="1" x14ac:dyDescent="0.25">
      <c r="A11" s="32" t="s">
        <v>283</v>
      </c>
      <c r="B11" s="32" t="s">
        <v>284</v>
      </c>
      <c r="C11" s="32" t="s">
        <v>233</v>
      </c>
      <c r="D11" s="32" t="s">
        <v>285</v>
      </c>
      <c r="E11" s="32" t="s">
        <v>286</v>
      </c>
    </row>
    <row r="12" spans="1:5" ht="27.75" customHeight="1" x14ac:dyDescent="0.25">
      <c r="A12" s="21" t="s">
        <v>237</v>
      </c>
      <c r="B12" s="33">
        <f>'ציונים ודחיפות'!C4</f>
        <v>0</v>
      </c>
      <c r="C12" s="28" t="str">
        <f>'ציונים ודחיפות'!E4</f>
        <v>תקין</v>
      </c>
      <c r="D12" s="29" t="str">
        <f>'ציונים ודחיפות'!F4</f>
        <v>🟢 תקין</v>
      </c>
      <c r="E12" s="34" t="s">
        <v>287</v>
      </c>
    </row>
    <row r="13" spans="1:5" ht="27.75" customHeight="1" x14ac:dyDescent="0.25">
      <c r="A13" s="21" t="s">
        <v>288</v>
      </c>
      <c r="B13" s="33">
        <f>'ציונים ודחיפות'!C5</f>
        <v>0</v>
      </c>
      <c r="C13" s="28" t="str">
        <f>'ציונים ודחיפות'!E5</f>
        <v>לא ים-תיכונית</v>
      </c>
      <c r="D13" s="29" t="str">
        <f>'ציונים ודחיפות'!F5</f>
        <v>🔴 דחיפות גבוהה</v>
      </c>
      <c r="E13" s="34" t="s">
        <v>289</v>
      </c>
    </row>
    <row r="14" spans="1:5" ht="27.75" customHeight="1" x14ac:dyDescent="0.25">
      <c r="A14" s="21" t="s">
        <v>290</v>
      </c>
      <c r="B14" s="33" t="str">
        <f>'ציונים ודחיפות'!D6</f>
        <v/>
      </c>
      <c r="C14" s="28" t="str">
        <f>'ציונים ודחיפות'!E6</f>
        <v>–</v>
      </c>
      <c r="D14" s="29" t="str">
        <f>'ציונים ודחיפות'!F6</f>
        <v>–</v>
      </c>
      <c r="E14" s="34" t="s">
        <v>291</v>
      </c>
    </row>
    <row r="15" spans="1:5" ht="27.75" customHeight="1" x14ac:dyDescent="0.25">
      <c r="A15" s="21" t="s">
        <v>292</v>
      </c>
      <c r="B15" s="33" t="str">
        <f>'ציונים ודחיפות'!D7</f>
        <v/>
      </c>
      <c r="C15" s="28" t="str">
        <f>'ציונים ודחיפות'!E7</f>
        <v>–</v>
      </c>
      <c r="D15" s="29" t="str">
        <f>'ציונים ודחיפות'!F7</f>
        <v>–</v>
      </c>
      <c r="E15" s="34" t="s">
        <v>293</v>
      </c>
    </row>
    <row r="16" spans="1:5" ht="27.75" customHeight="1" x14ac:dyDescent="0.25">
      <c r="A16" s="21" t="s">
        <v>294</v>
      </c>
      <c r="B16" s="33" t="str">
        <f>'ציונים ודחיפות'!C8</f>
        <v/>
      </c>
      <c r="C16" s="28" t="str">
        <f>'ציונים ודחיפות'!E8</f>
        <v>–</v>
      </c>
      <c r="D16" s="29" t="str">
        <f>'ציונים ודחיפות'!F8</f>
        <v>–</v>
      </c>
      <c r="E16" s="34" t="s">
        <v>295</v>
      </c>
    </row>
    <row r="17" spans="1:5" ht="27.75" customHeight="1" x14ac:dyDescent="0.25">
      <c r="A17" s="21" t="s">
        <v>296</v>
      </c>
      <c r="B17" s="33">
        <f>'ציונים ודחיפות'!C9</f>
        <v>0</v>
      </c>
      <c r="C17" s="28" t="str">
        <f>'ציונים ודחיפות'!E9</f>
        <v>תקין</v>
      </c>
      <c r="D17" s="29" t="str">
        <f>'ציונים ודחיפות'!F9</f>
        <v>🟢 תקין</v>
      </c>
      <c r="E17" s="34" t="s">
        <v>297</v>
      </c>
    </row>
    <row r="18" spans="1:5" ht="27.75" customHeight="1" x14ac:dyDescent="0.25">
      <c r="A18" s="21" t="s">
        <v>298</v>
      </c>
      <c r="B18" s="33" t="str">
        <f>'ציונים ודחיפות'!C10</f>
        <v/>
      </c>
      <c r="C18" s="28" t="str">
        <f>'ציונים ודחיפות'!E10</f>
        <v>–</v>
      </c>
      <c r="D18" s="29" t="str">
        <f>'ציונים ודחיפות'!F10</f>
        <v>–</v>
      </c>
      <c r="E18" s="34" t="s">
        <v>299</v>
      </c>
    </row>
    <row r="19" spans="1:5" ht="27.75" customHeight="1" x14ac:dyDescent="0.25">
      <c r="A19" s="21" t="s">
        <v>300</v>
      </c>
      <c r="B19" s="33">
        <f>'ציונים ודחיפות'!C11</f>
        <v>0</v>
      </c>
      <c r="C19" s="28" t="str">
        <f>'ציונים ודחיפות'!E11</f>
        <v>אינו מעשן/ת</v>
      </c>
      <c r="D19" s="29" t="str">
        <f>'ציונים ודחיפות'!F11</f>
        <v>🟢 תקין</v>
      </c>
      <c r="E19" s="34" t="s">
        <v>301</v>
      </c>
    </row>
    <row r="20" spans="1:5" ht="27.75" customHeight="1" x14ac:dyDescent="0.25">
      <c r="A20" s="21" t="s">
        <v>302</v>
      </c>
      <c r="B20" s="33" t="str">
        <f>'ציונים ודחיפות'!C12</f>
        <v/>
      </c>
      <c r="C20" s="28" t="str">
        <f>'ציונים ודחיפות'!E12</f>
        <v>–</v>
      </c>
      <c r="D20" s="29" t="str">
        <f>'ציונים ודחיפות'!F12</f>
        <v>–</v>
      </c>
      <c r="E20" s="34" t="s">
        <v>303</v>
      </c>
    </row>
    <row r="21" spans="1:5" ht="27.75" customHeight="1" x14ac:dyDescent="0.25">
      <c r="A21" s="21" t="s">
        <v>304</v>
      </c>
      <c r="B21" s="33" t="str">
        <f>'ציונים ודחיפות'!C13</f>
        <v/>
      </c>
      <c r="C21" s="28" t="str">
        <f>'ציונים ודחיפות'!E13</f>
        <v>–</v>
      </c>
      <c r="D21" s="29" t="str">
        <f>'ציונים ודחיפות'!F13</f>
        <v>–</v>
      </c>
      <c r="E21" s="34" t="s">
        <v>305</v>
      </c>
    </row>
    <row r="22" spans="1:5" ht="27.75" customHeight="1" x14ac:dyDescent="0.25">
      <c r="A22" s="21" t="s">
        <v>306</v>
      </c>
      <c r="B22" s="33" t="str">
        <f>'ציונים ודחיפות'!C14</f>
        <v/>
      </c>
      <c r="C22" s="28" t="str">
        <f>'ציונים ודחיפות'!E14</f>
        <v>–</v>
      </c>
      <c r="D22" s="29" t="str">
        <f>'ציונים ודחיפות'!F14</f>
        <v>–</v>
      </c>
      <c r="E22" s="34" t="s">
        <v>307</v>
      </c>
    </row>
    <row r="23" spans="1:5" ht="27.75" customHeight="1" x14ac:dyDescent="0.25">
      <c r="A23" s="21" t="s">
        <v>308</v>
      </c>
      <c r="B23" s="33" t="str">
        <f>'ציונים ודחיפות'!C15</f>
        <v/>
      </c>
      <c r="C23" s="28" t="str">
        <f>'ציונים ודחיפות'!E15</f>
        <v>–</v>
      </c>
      <c r="D23" s="29" t="str">
        <f>'ציונים ודחיפות'!F15</f>
        <v>–</v>
      </c>
      <c r="E23" s="34" t="s">
        <v>309</v>
      </c>
    </row>
    <row r="24" spans="1:5" ht="27.75" customHeight="1" x14ac:dyDescent="0.25">
      <c r="A24" s="21" t="s">
        <v>310</v>
      </c>
      <c r="B24" s="33" t="str">
        <f>'ציונים ודחיפות'!C16</f>
        <v/>
      </c>
      <c r="C24" s="28" t="str">
        <f>'ציונים ודחיפות'!E16</f>
        <v>–</v>
      </c>
      <c r="D24" s="29" t="str">
        <f>'ציונים ודחיפות'!F16</f>
        <v>–</v>
      </c>
      <c r="E24" s="34" t="s">
        <v>311</v>
      </c>
    </row>
    <row r="25" spans="1:5" ht="27.75" customHeight="1" x14ac:dyDescent="0.25">
      <c r="A25" s="21" t="s">
        <v>221</v>
      </c>
      <c r="B25" s="33">
        <f>'ציונים ודחיפות'!C17</f>
        <v>0</v>
      </c>
      <c r="C25" s="28" t="str">
        <f>'ציונים ודחיפות'!E17</f>
        <v>–</v>
      </c>
      <c r="D25" s="29" t="str">
        <f>'ציונים ודחיפות'!F17</f>
        <v>–</v>
      </c>
      <c r="E25" s="34" t="s">
        <v>312</v>
      </c>
    </row>
    <row r="28" spans="1:5" ht="15" customHeight="1" x14ac:dyDescent="0.25">
      <c r="A28" s="3" t="s">
        <v>313</v>
      </c>
      <c r="B28" s="3"/>
      <c r="C28" s="3"/>
      <c r="D28" s="3"/>
      <c r="E28" s="3"/>
    </row>
    <row r="29" spans="1:5" ht="25.5" customHeight="1" x14ac:dyDescent="0.25">
      <c r="A29" s="35" t="s">
        <v>314</v>
      </c>
      <c r="B29" s="2" t="s">
        <v>315</v>
      </c>
      <c r="C29" s="2"/>
      <c r="D29" s="2"/>
      <c r="E29" s="2"/>
    </row>
    <row r="30" spans="1:5" ht="25.5" customHeight="1" x14ac:dyDescent="0.25">
      <c r="A30" s="35" t="s">
        <v>316</v>
      </c>
      <c r="B30" s="2" t="s">
        <v>317</v>
      </c>
      <c r="C30" s="2"/>
      <c r="D30" s="2"/>
      <c r="E30" s="2"/>
    </row>
    <row r="31" spans="1:5" ht="25.5" customHeight="1" x14ac:dyDescent="0.25">
      <c r="A31" s="35" t="s">
        <v>318</v>
      </c>
      <c r="B31" s="2" t="s">
        <v>319</v>
      </c>
      <c r="C31" s="2"/>
      <c r="D31" s="2"/>
      <c r="E31" s="2"/>
    </row>
    <row r="32" spans="1:5" ht="25.5" customHeight="1" x14ac:dyDescent="0.25">
      <c r="A32" s="35" t="s">
        <v>320</v>
      </c>
      <c r="B32" s="2" t="s">
        <v>321</v>
      </c>
      <c r="C32" s="2"/>
      <c r="D32" s="2"/>
      <c r="E32" s="2"/>
    </row>
    <row r="33" spans="1:5" ht="25.5" customHeight="1" x14ac:dyDescent="0.25">
      <c r="A33" s="35" t="s">
        <v>322</v>
      </c>
      <c r="B33" s="2" t="s">
        <v>323</v>
      </c>
      <c r="C33" s="2"/>
      <c r="D33" s="2"/>
      <c r="E33" s="2"/>
    </row>
  </sheetData>
  <mergeCells count="10">
    <mergeCell ref="B29:E29"/>
    <mergeCell ref="B30:E30"/>
    <mergeCell ref="B31:E31"/>
    <mergeCell ref="B32:E32"/>
    <mergeCell ref="B33:E33"/>
    <mergeCell ref="A1:E1"/>
    <mergeCell ref="A2:E2"/>
    <mergeCell ref="A3:E3"/>
    <mergeCell ref="A10:E10"/>
    <mergeCell ref="A28:E28"/>
  </mergeCells>
  <conditionalFormatting sqref="D12">
    <cfRule type="expression" dxfId="69" priority="2">
      <formula>ISNUMBER(SEARCH("חירום",D12))</formula>
    </cfRule>
    <cfRule type="expression" dxfId="68" priority="3">
      <formula>ISNUMBER(SEARCH("גבוהה",D12))</formula>
    </cfRule>
    <cfRule type="expression" dxfId="67" priority="4">
      <formula>ISNUMBER(SEARCH("בינונית-גבוהה",D12))</formula>
    </cfRule>
    <cfRule type="expression" dxfId="66" priority="5">
      <formula>ISNUMBER(SEARCH("בינונית",D12))</formula>
    </cfRule>
    <cfRule type="expression" dxfId="65" priority="6">
      <formula>ISNUMBER(SEARCH("תקין",D12))</formula>
    </cfRule>
  </conditionalFormatting>
  <conditionalFormatting sqref="D13">
    <cfRule type="expression" dxfId="64" priority="7">
      <formula>ISNUMBER(SEARCH("חירום",D13))</formula>
    </cfRule>
    <cfRule type="expression" dxfId="63" priority="8">
      <formula>ISNUMBER(SEARCH("גבוהה",D13))</formula>
    </cfRule>
    <cfRule type="expression" dxfId="62" priority="9">
      <formula>ISNUMBER(SEARCH("בינונית-גבוהה",D13))</formula>
    </cfRule>
    <cfRule type="expression" dxfId="61" priority="10">
      <formula>ISNUMBER(SEARCH("בינונית",D13))</formula>
    </cfRule>
    <cfRule type="expression" dxfId="60" priority="11">
      <formula>ISNUMBER(SEARCH("תקין",D13))</formula>
    </cfRule>
  </conditionalFormatting>
  <conditionalFormatting sqref="D14">
    <cfRule type="expression" dxfId="59" priority="12">
      <formula>ISNUMBER(SEARCH("חירום",D14))</formula>
    </cfRule>
    <cfRule type="expression" dxfId="58" priority="13">
      <formula>ISNUMBER(SEARCH("גבוהה",D14))</formula>
    </cfRule>
    <cfRule type="expression" dxfId="57" priority="14">
      <formula>ISNUMBER(SEARCH("בינונית-גבוהה",D14))</formula>
    </cfRule>
    <cfRule type="expression" dxfId="56" priority="15">
      <formula>ISNUMBER(SEARCH("בינונית",D14))</formula>
    </cfRule>
    <cfRule type="expression" dxfId="55" priority="16">
      <formula>ISNUMBER(SEARCH("תקין",D14))</formula>
    </cfRule>
  </conditionalFormatting>
  <conditionalFormatting sqref="D15">
    <cfRule type="expression" dxfId="54" priority="17">
      <formula>ISNUMBER(SEARCH("חירום",D15))</formula>
    </cfRule>
    <cfRule type="expression" dxfId="53" priority="18">
      <formula>ISNUMBER(SEARCH("גבוהה",D15))</formula>
    </cfRule>
    <cfRule type="expression" dxfId="52" priority="19">
      <formula>ISNUMBER(SEARCH("בינונית-גבוהה",D15))</formula>
    </cfRule>
    <cfRule type="expression" dxfId="51" priority="20">
      <formula>ISNUMBER(SEARCH("בינונית",D15))</formula>
    </cfRule>
    <cfRule type="expression" dxfId="50" priority="21">
      <formula>ISNUMBER(SEARCH("תקין",D15))</formula>
    </cfRule>
  </conditionalFormatting>
  <conditionalFormatting sqref="D16">
    <cfRule type="expression" dxfId="49" priority="22">
      <formula>ISNUMBER(SEARCH("חירום",D16))</formula>
    </cfRule>
    <cfRule type="expression" dxfId="48" priority="23">
      <formula>ISNUMBER(SEARCH("גבוהה",D16))</formula>
    </cfRule>
    <cfRule type="expression" dxfId="47" priority="24">
      <formula>ISNUMBER(SEARCH("בינונית-גבוהה",D16))</formula>
    </cfRule>
    <cfRule type="expression" dxfId="46" priority="25">
      <formula>ISNUMBER(SEARCH("בינונית",D16))</formula>
    </cfRule>
    <cfRule type="expression" dxfId="45" priority="26">
      <formula>ISNUMBER(SEARCH("תקין",D16))</formula>
    </cfRule>
  </conditionalFormatting>
  <conditionalFormatting sqref="D17">
    <cfRule type="expression" dxfId="44" priority="27">
      <formula>ISNUMBER(SEARCH("חירום",D17))</formula>
    </cfRule>
    <cfRule type="expression" dxfId="43" priority="28">
      <formula>ISNUMBER(SEARCH("גבוהה",D17))</formula>
    </cfRule>
    <cfRule type="expression" dxfId="42" priority="29">
      <formula>ISNUMBER(SEARCH("בינונית-גבוהה",D17))</formula>
    </cfRule>
    <cfRule type="expression" dxfId="41" priority="30">
      <formula>ISNUMBER(SEARCH("בינונית",D17))</formula>
    </cfRule>
    <cfRule type="expression" dxfId="40" priority="31">
      <formula>ISNUMBER(SEARCH("תקין",D17))</formula>
    </cfRule>
  </conditionalFormatting>
  <conditionalFormatting sqref="D18">
    <cfRule type="expression" dxfId="39" priority="32">
      <formula>ISNUMBER(SEARCH("חירום",D18))</formula>
    </cfRule>
    <cfRule type="expression" dxfId="38" priority="33">
      <formula>ISNUMBER(SEARCH("גבוהה",D18))</formula>
    </cfRule>
    <cfRule type="expression" dxfId="37" priority="34">
      <formula>ISNUMBER(SEARCH("בינונית-גבוהה",D18))</formula>
    </cfRule>
    <cfRule type="expression" dxfId="36" priority="35">
      <formula>ISNUMBER(SEARCH("בינונית",D18))</formula>
    </cfRule>
    <cfRule type="expression" dxfId="35" priority="36">
      <formula>ISNUMBER(SEARCH("תקין",D18))</formula>
    </cfRule>
  </conditionalFormatting>
  <conditionalFormatting sqref="D19">
    <cfRule type="expression" dxfId="34" priority="37">
      <formula>ISNUMBER(SEARCH("חירום",D19))</formula>
    </cfRule>
    <cfRule type="expression" dxfId="33" priority="38">
      <formula>ISNUMBER(SEARCH("גבוהה",D19))</formula>
    </cfRule>
    <cfRule type="expression" dxfId="32" priority="39">
      <formula>ISNUMBER(SEARCH("בינונית-גבוהה",D19))</formula>
    </cfRule>
    <cfRule type="expression" dxfId="31" priority="40">
      <formula>ISNUMBER(SEARCH("בינונית",D19))</formula>
    </cfRule>
    <cfRule type="expression" dxfId="30" priority="41">
      <formula>ISNUMBER(SEARCH("תקין",D19))</formula>
    </cfRule>
  </conditionalFormatting>
  <conditionalFormatting sqref="D20">
    <cfRule type="expression" dxfId="29" priority="42">
      <formula>ISNUMBER(SEARCH("חירום",D20))</formula>
    </cfRule>
    <cfRule type="expression" dxfId="28" priority="43">
      <formula>ISNUMBER(SEARCH("גבוהה",D20))</formula>
    </cfRule>
    <cfRule type="expression" dxfId="27" priority="44">
      <formula>ISNUMBER(SEARCH("בינונית-גבוהה",D20))</formula>
    </cfRule>
    <cfRule type="expression" dxfId="26" priority="45">
      <formula>ISNUMBER(SEARCH("בינונית",D20))</formula>
    </cfRule>
    <cfRule type="expression" dxfId="25" priority="46">
      <formula>ISNUMBER(SEARCH("תקין",D20))</formula>
    </cfRule>
  </conditionalFormatting>
  <conditionalFormatting sqref="D21">
    <cfRule type="expression" dxfId="24" priority="47">
      <formula>ISNUMBER(SEARCH("חירום",D21))</formula>
    </cfRule>
    <cfRule type="expression" dxfId="23" priority="48">
      <formula>ISNUMBER(SEARCH("גבוהה",D21))</formula>
    </cfRule>
    <cfRule type="expression" dxfId="22" priority="49">
      <formula>ISNUMBER(SEARCH("בינונית-גבוהה",D21))</formula>
    </cfRule>
    <cfRule type="expression" dxfId="21" priority="50">
      <formula>ISNUMBER(SEARCH("בינונית",D21))</formula>
    </cfRule>
    <cfRule type="expression" dxfId="20" priority="51">
      <formula>ISNUMBER(SEARCH("תקין",D21))</formula>
    </cfRule>
  </conditionalFormatting>
  <conditionalFormatting sqref="D22">
    <cfRule type="expression" dxfId="19" priority="52">
      <formula>ISNUMBER(SEARCH("חירום",D22))</formula>
    </cfRule>
    <cfRule type="expression" dxfId="18" priority="53">
      <formula>ISNUMBER(SEARCH("גבוהה",D22))</formula>
    </cfRule>
    <cfRule type="expression" dxfId="17" priority="54">
      <formula>ISNUMBER(SEARCH("בינונית-גבוהה",D22))</formula>
    </cfRule>
    <cfRule type="expression" dxfId="16" priority="55">
      <formula>ISNUMBER(SEARCH("בינונית",D22))</formula>
    </cfRule>
    <cfRule type="expression" dxfId="15" priority="56">
      <formula>ISNUMBER(SEARCH("תקין",D22))</formula>
    </cfRule>
  </conditionalFormatting>
  <conditionalFormatting sqref="D23">
    <cfRule type="expression" dxfId="14" priority="57">
      <formula>ISNUMBER(SEARCH("חירום",D23))</formula>
    </cfRule>
    <cfRule type="expression" dxfId="13" priority="58">
      <formula>ISNUMBER(SEARCH("גבוהה",D23))</formula>
    </cfRule>
    <cfRule type="expression" dxfId="12" priority="59">
      <formula>ISNUMBER(SEARCH("בינונית-גבוהה",D23))</formula>
    </cfRule>
    <cfRule type="expression" dxfId="11" priority="60">
      <formula>ISNUMBER(SEARCH("בינונית",D23))</formula>
    </cfRule>
    <cfRule type="expression" dxfId="10" priority="61">
      <formula>ISNUMBER(SEARCH("תקין",D23))</formula>
    </cfRule>
  </conditionalFormatting>
  <conditionalFormatting sqref="D24">
    <cfRule type="expression" dxfId="9" priority="62">
      <formula>ISNUMBER(SEARCH("חירום",D24))</formula>
    </cfRule>
    <cfRule type="expression" dxfId="8" priority="63">
      <formula>ISNUMBER(SEARCH("גבוהה",D24))</formula>
    </cfRule>
    <cfRule type="expression" dxfId="7" priority="64">
      <formula>ISNUMBER(SEARCH("בינונית-גבוהה",D24))</formula>
    </cfRule>
    <cfRule type="expression" dxfId="6" priority="65">
      <formula>ISNUMBER(SEARCH("בינונית",D24))</formula>
    </cfRule>
    <cfRule type="expression" dxfId="5" priority="66">
      <formula>ISNUMBER(SEARCH("תקין",D24))</formula>
    </cfRule>
  </conditionalFormatting>
  <conditionalFormatting sqref="D25">
    <cfRule type="expression" dxfId="4" priority="67">
      <formula>ISNUMBER(SEARCH("חירום",D25))</formula>
    </cfRule>
    <cfRule type="expression" dxfId="3" priority="68">
      <formula>ISNUMBER(SEARCH("גבוהה",D25))</formula>
    </cfRule>
    <cfRule type="expression" dxfId="2" priority="69">
      <formula>ISNUMBER(SEARCH("בינונית-גבוהה",D25))</formula>
    </cfRule>
    <cfRule type="expression" dxfId="1" priority="70">
      <formula>ISNUMBER(SEARCH("בינונית",D25))</formula>
    </cfRule>
    <cfRule type="expression" dxfId="0" priority="71">
      <formula>ISNUMBER(SEARCH("תקין",D25))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rightToLeft="1" tabSelected="1" zoomScaleNormal="100" workbookViewId="0">
      <selection sqref="A1:C1"/>
    </sheetView>
  </sheetViews>
  <sheetFormatPr defaultColWidth="8.7109375" defaultRowHeight="15" x14ac:dyDescent="0.25"/>
  <cols>
    <col min="1" max="1" width="30" style="9" customWidth="1"/>
    <col min="2" max="3" width="16" style="9" customWidth="1"/>
  </cols>
  <sheetData>
    <row r="1" spans="1:3" ht="15" customHeight="1" x14ac:dyDescent="0.25">
      <c r="A1" s="1" t="s">
        <v>324</v>
      </c>
      <c r="B1" s="1"/>
      <c r="C1" s="1"/>
    </row>
    <row r="2" spans="1:3" ht="15" customHeight="1" x14ac:dyDescent="0.25">
      <c r="A2" s="36" t="s">
        <v>283</v>
      </c>
      <c r="B2" s="37" t="s">
        <v>325</v>
      </c>
      <c r="C2" s="37" t="s">
        <v>326</v>
      </c>
    </row>
    <row r="3" spans="1:3" ht="24" customHeight="1" x14ac:dyDescent="0.25">
      <c r="A3" s="38" t="s">
        <v>327</v>
      </c>
      <c r="B3" s="27">
        <f>'ציונים ודחיפות'!D5</f>
        <v>0</v>
      </c>
      <c r="C3" s="39">
        <v>80</v>
      </c>
    </row>
    <row r="4" spans="1:3" ht="24" customHeight="1" x14ac:dyDescent="0.25">
      <c r="A4" s="38" t="s">
        <v>294</v>
      </c>
      <c r="B4" s="33" t="str">
        <f>'ציונים ודחיפות'!D8</f>
        <v/>
      </c>
      <c r="C4" s="39">
        <v>80</v>
      </c>
    </row>
    <row r="5" spans="1:3" ht="24" customHeight="1" x14ac:dyDescent="0.25">
      <c r="A5" s="38" t="s">
        <v>298</v>
      </c>
      <c r="B5" s="33" t="str">
        <f>'ציונים ודחיפות'!D10</f>
        <v/>
      </c>
      <c r="C5" s="39">
        <v>80</v>
      </c>
    </row>
    <row r="6" spans="1:3" ht="24" customHeight="1" x14ac:dyDescent="0.25">
      <c r="A6" s="38" t="s">
        <v>328</v>
      </c>
      <c r="B6" s="33">
        <f>IFERROR(MAX(0,100-'ציונים ודחיפות'!D13),0)</f>
        <v>0</v>
      </c>
      <c r="C6" s="39">
        <v>80</v>
      </c>
    </row>
    <row r="7" spans="1:3" ht="24" customHeight="1" x14ac:dyDescent="0.25">
      <c r="A7" s="38" t="s">
        <v>329</v>
      </c>
      <c r="B7" s="33">
        <f>IFERROR(MAX(0,100-'ציונים ודחיפות'!D14),0)</f>
        <v>0</v>
      </c>
      <c r="C7" s="39">
        <v>80</v>
      </c>
    </row>
    <row r="8" spans="1:3" ht="24" customHeight="1" x14ac:dyDescent="0.25">
      <c r="A8" s="38" t="s">
        <v>308</v>
      </c>
      <c r="B8" s="33" t="str">
        <f>'ציונים ודחיפות'!D15</f>
        <v/>
      </c>
      <c r="C8" s="39">
        <v>80</v>
      </c>
    </row>
    <row r="9" spans="1:3" ht="24" customHeight="1" x14ac:dyDescent="0.25">
      <c r="A9" s="38" t="s">
        <v>330</v>
      </c>
      <c r="B9" s="33">
        <f>IFERROR(MAX(0,100-'ציונים ודחיפות'!D6),0)</f>
        <v>0</v>
      </c>
      <c r="C9" s="39">
        <v>80</v>
      </c>
    </row>
    <row r="10" spans="1:3" ht="24" customHeight="1" x14ac:dyDescent="0.25">
      <c r="A10" s="38" t="s">
        <v>331</v>
      </c>
      <c r="B10" s="33">
        <f>MAX(0,100-'ציונים ודחיפות'!D11)</f>
        <v>100</v>
      </c>
      <c r="C10" s="39">
        <v>80</v>
      </c>
    </row>
    <row r="11" spans="1:3" ht="24" customHeight="1" x14ac:dyDescent="0.25">
      <c r="A11" s="38" t="s">
        <v>332</v>
      </c>
      <c r="B11" s="33">
        <f>IFERROR(MAX(0,100-'ציונים ודחיפות'!D12),0)</f>
        <v>0</v>
      </c>
      <c r="C11" s="39">
        <v>80</v>
      </c>
    </row>
    <row r="12" spans="1:3" ht="24" customHeight="1" x14ac:dyDescent="0.25">
      <c r="A12" s="38" t="s">
        <v>333</v>
      </c>
      <c r="B12" s="33">
        <f>'ציונים ודחיפות'!D17</f>
        <v>-25</v>
      </c>
      <c r="C12" s="39">
        <v>80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הוראות שימוש</vt:lpstr>
      <vt:lpstr>קלט שאלון</vt:lpstr>
      <vt:lpstr>ציונים ודחיפות</vt:lpstr>
      <vt:lpstr>סיכום קליני</vt:lpstr>
      <vt:lpstr>גרף רדאר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DROR</cp:lastModifiedBy>
  <cp:revision>2</cp:revision>
  <dcterms:created xsi:type="dcterms:W3CDTF">2026-03-14T13:40:51Z</dcterms:created>
  <dcterms:modified xsi:type="dcterms:W3CDTF">2026-03-14T13:50:54Z</dcterms:modified>
  <dc:language>en-US</dc:language>
</cp:coreProperties>
</file>